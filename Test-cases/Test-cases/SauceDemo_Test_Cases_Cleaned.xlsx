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 First" sheetId="1" state="visible" r:id="rId3"/>
    <sheet name="Test Cases" sheetId="2" state="visible" r:id="rId4"/>
    <sheet name="Mini FRS" sheetId="3" state="visible" r:id="rId5"/>
    <sheet name="Summary" sheetId="4" state="visible" r:id="rId6"/>
  </sheets>
  <definedNames>
    <definedName function="false" hidden="true" localSheetId="1" name="_xlnm._FilterDatabase" vbProcedure="false">'Test Cases'!$A$1:$O$48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<sst xmlns="http://schemas.openxmlformats.org/spreadsheetml/2006/main" count="795" uniqueCount="394">
  <si>
    <t xml:space="preserve">SauceDemo Test Suite - Cleaned-Up Version</t>
  </si>
  <si>
    <t xml:space="preserve">Your original test cases, fixed and expanded, with notes explaining every change.</t>
  </si>
  <si>
    <t xml:space="preserve">Test Cases tab</t>
  </si>
  <si>
    <t xml:space="preserve">46 cases. The last column ('Learning Note') explains what changed or what technique a new case uses. Compare with your original file side by side.</t>
  </si>
  <si>
    <t xml:space="preserve">Mini FRS tab</t>
  </si>
  <si>
    <t xml:space="preserve">The requirements the cases trace back to. 'Linked Cases' counts how many test cases cover each requirement; a 0 turns red.</t>
  </si>
  <si>
    <t xml:space="preserve">Summary tab</t>
  </si>
  <si>
    <t xml:space="preserve">Live counts by status, type, priority and module. These update as you fill in Status.</t>
  </si>
  <si>
    <t xml:space="preserve">Source column legend</t>
  </si>
  <si>
    <t xml:space="preserve">Yours - rewritten</t>
  </si>
  <si>
    <t xml:space="preserve">Your case, kept, with a sharper expected result, split preconditions or labelled test data.</t>
  </si>
  <si>
    <t xml:space="preserve">Yours - fixed</t>
  </si>
  <si>
    <t xml:space="preserve">Your case with a concrete error corrected (duplicate ID, wrong step, wrong Req ID).</t>
  </si>
  <si>
    <t xml:space="preserve">Yours - merged</t>
  </si>
  <si>
    <t xml:space="preserve">Two of your cases combined into one.</t>
  </si>
  <si>
    <t xml:space="preserve">New</t>
  </si>
  <si>
    <t xml:space="preserve">A case I drafted to fill a gap (negative, boundary, access control, calculation checks).</t>
  </si>
  <si>
    <t xml:space="preserve">IMPORTANT</t>
  </si>
  <si>
    <t xml:space="preserve">I could not run the site, so Expected Results are drafted from how SauceDemo normally behaves. Your job is to execute each case, fill in Actual Result, and set Status. A mismatch is the interesting part: it is either a bug or an expectation I got wrong. Do not edit Expected to match Actual just to get a Pass. Anything you can't reproduce, tell me and I'll correct it.</t>
  </si>
  <si>
    <t xml:space="preserve">Good habits shown here</t>
  </si>
  <si>
    <t xml:space="preserve">1) Steps are actions only; results go in Expected. 2) One idea per test case. 3) Every case traces to a requirement ID. 4) Test data is labelled and repeatable. 5) Roughly a third of the cases are negative or boundary.</t>
  </si>
  <si>
    <t xml:space="preserve">Two cases to watch</t>
  </si>
  <si>
    <t xml:space="preserve">TC_SwagLabs_026 (empty-cart checkout) and TC_SwagLabs_036 (order confirmation vs. PDF receipt) are the most likely to behave differently from what you'd assume - good practice for your bug-reporting week.</t>
  </si>
  <si>
    <t xml:space="preserve">TC ID</t>
  </si>
  <si>
    <t xml:space="preserve">Module</t>
  </si>
  <si>
    <t xml:space="preserve">Req ID</t>
  </si>
  <si>
    <t xml:space="preserve">Scenario</t>
  </si>
  <si>
    <t xml:space="preserve">Test Case Title</t>
  </si>
  <si>
    <t xml:space="preserve">Type</t>
  </si>
  <si>
    <t xml:space="preserve">Priority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</si>
  <si>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</si>
  <si>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</si>
  <si>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</si>
  <si>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</si>
  <si>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</si>
  <si>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</si>
  <si>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TC_SwagLabs_001</t>
  </si>
  <si>
    <t xml:space="preserve">Login</t>
  </si>
  <si>
    <t xml:space="preserve">FR-1.1</t>
  </si>
  <si>
    <t xml:space="preserve">User can log in</t>
  </si>
  <si>
    <t xml:space="preserve">Verify login with valid username and valid password</t>
  </si>
  <si>
    <t xml:space="preserve">Positive</t>
  </si>
  <si>
    <t xml:space="preserve">High</t>
  </si>
  <si>
    <t xml:space="preserve">User is on the login page (https://www.saucedemo.com)</t>
  </si>
  <si>
    <t xml:space="preserve">1. Open https://www.saucedemo.com in a browser
2. Enter the username
3. Enter the password
4. Click Login</t>
  </si>
  <si>
    <t xml:space="preserve">Username: standard_user
Password: secret_sauce</t>
  </si>
  <si>
    <t xml:space="preserve">User is redirected to /inventory.html and the Products page shows 6 items.</t>
  </si>
  <si>
    <t xml:space="preserve">As expected </t>
  </si>
  <si>
    <t xml:space="preserve">Passed</t>
  </si>
  <si>
    <t xml:space="preserve">TC_SwagLabs_002</t>
  </si>
  <si>
    <t xml:space="preserve">FR-1.2</t>
  </si>
  <si>
    <t xml:space="preserve">Invalid credentials are rejected</t>
  </si>
  <si>
    <t xml:space="preserve">Verify login with valid username and invalid password</t>
  </si>
  <si>
    <t xml:space="preserve">Negative</t>
  </si>
  <si>
    <t xml:space="preserve">1. Open https://www.saucedemo.com
2. Enter a valid username
3. Enter an invalid password
4. Click Login</t>
  </si>
  <si>
    <t xml:space="preserve">Username: standard_user
Password: xxxx</t>
  </si>
  <si>
    <t xml:space="preserve">User stays on the login page and sees: 'Epic sadface: Username and password do not match any user in this service'. No redirect to /inventory.html.</t>
  </si>
  <si>
    <t xml:space="preserve">TC_SwagLabs_003</t>
  </si>
  <si>
    <t xml:space="preserve">Verify login with invalid username and valid password</t>
  </si>
  <si>
    <t xml:space="preserve">1. Open https://www.saucedemo.com
2. Enter an invalid username
3. Enter a valid password
4. Click Login</t>
  </si>
  <si>
    <t xml:space="preserve">Username: xxxx
Password: secret_sauce</t>
  </si>
  <si>
    <t xml:space="preserve">Same error as above: 'Epic sadface: Username and password do not match any user in this service'.</t>
  </si>
  <si>
    <t xml:space="preserve">TC_SwagLabs_004</t>
  </si>
  <si>
    <t xml:space="preserve">Verify login with invalid username and invalid password</t>
  </si>
  <si>
    <t xml:space="preserve">Medium</t>
  </si>
  <si>
    <t xml:space="preserve">1. Open https://www.saucedemo.com
2. Enter an invalid username
3. Enter an invalid password
4. Click Login</t>
  </si>
  <si>
    <t xml:space="preserve">Username: xxxx
Password: xxxx</t>
  </si>
  <si>
    <t xml:space="preserve">TC_SwagLabs_005</t>
  </si>
  <si>
    <t xml:space="preserve">FR-1.3</t>
  </si>
  <si>
    <t xml:space="preserve">Username and password are required</t>
  </si>
  <si>
    <t xml:space="preserve">Verify login with empty username and valid password</t>
  </si>
  <si>
    <t xml:space="preserve">1. Open https://www.saucedemo.com
2. Leave the username empty
3. Enter the password
4. Click Login</t>
  </si>
  <si>
    <t xml:space="preserve">Username: (empty)
Password: secret_sauce</t>
  </si>
  <si>
    <t xml:space="preserve">Error shown: 'Epic sadface: Username is required'. User stays on the login page.</t>
  </si>
  <si>
    <t xml:space="preserve">TC_SwagLabs_006</t>
  </si>
  <si>
    <t xml:space="preserve">Verify login with valid username and empty password</t>
  </si>
  <si>
    <t xml:space="preserve">1. Open https://www.saucedemo.com
2. Enter the username
3. Leave the password empty
4. Click Login</t>
  </si>
  <si>
    <t xml:space="preserve">Username: standard_user
Password: (empty)</t>
  </si>
  <si>
    <t xml:space="preserve">Error shown: 'Epic sadface: Password is required'. User stays on the login page.</t>
  </si>
  <si>
    <t xml:space="preserve">TC_SwagLabs_007</t>
  </si>
  <si>
    <t xml:space="preserve">Verify login with both fields empty</t>
  </si>
  <si>
    <t xml:space="preserve">1. Open https://www.saucedemo.com
2. Leave both fields empty
3. Click Login</t>
  </si>
  <si>
    <t xml:space="preserve">Username: (empty)
Password: (empty)</t>
  </si>
  <si>
    <t xml:space="preserve">Error shown: 'Epic sadface: Username is required' (username is validated first). User stays on the login page.</t>
  </si>
  <si>
    <t xml:space="preserve">TC_SwagLabs_008</t>
  </si>
  <si>
    <t xml:space="preserve">FR-1.4</t>
  </si>
  <si>
    <t xml:space="preserve">Locked-out users cannot log in</t>
  </si>
  <si>
    <t xml:space="preserve">Verify a locked-out user cannot log in</t>
  </si>
  <si>
    <t xml:space="preserve">1. Open https://www.saucedemo.com
2. Enter the locked-out username and the password
3. Click Login</t>
  </si>
  <si>
    <t xml:space="preserve">Username: locked_out_user
Password: secret_sauce</t>
  </si>
  <si>
    <t xml:space="preserve">Error shown: 'Epic sadface: Sorry, this user has been locked out.' User is not logged in.</t>
  </si>
  <si>
    <t xml:space="preserve">TC_SwagLabs_009</t>
  </si>
  <si>
    <t xml:space="preserve">FR-1.5</t>
  </si>
  <si>
    <t xml:space="preserve">Protected pages require login</t>
  </si>
  <si>
    <t xml:space="preserve">Verify the products page cannot be opened without logging in</t>
  </si>
  <si>
    <t xml:space="preserve">User is NOT logged in (use a fresh incognito/private window)</t>
  </si>
  <si>
    <t xml:space="preserve">1. Open a new incognito window
2. Go directly to https://www.saucedemo.com/inventory.html</t>
  </si>
  <si>
    <t xml:space="preserve">N/A</t>
  </si>
  <si>
    <t xml:space="preserve">User is sent to the login page with the error: "Epic sadface: You can only access '/inventory.html' when you are logged in."</t>
  </si>
  <si>
    <t xml:space="preserve">TC_SwagLabs_010</t>
  </si>
  <si>
    <t xml:space="preserve">Verify the username is case-sensitive</t>
  </si>
  <si>
    <t xml:space="preserve">1. Open https://www.saucedemo.com
2. Enter the username in capital letters
3. Enter the password
4. Click Login</t>
  </si>
  <si>
    <t xml:space="preserve">Username: STANDARD_USER
Password: secret_sauce</t>
  </si>
  <si>
    <t xml:space="preserve">Login is rejected with the 'do not match any user' error.</t>
  </si>
  <si>
    <t xml:space="preserve">TC_SwagLabs_011</t>
  </si>
  <si>
    <t xml:space="preserve">Products</t>
  </si>
  <si>
    <t xml:space="preserve">FR-2.1</t>
  </si>
  <si>
    <t xml:space="preserve">User can view all products</t>
  </si>
  <si>
    <t xml:space="preserve">Verify all products are displayed on the products page</t>
  </si>
  <si>
    <t xml:space="preserve">User is logged in as standard_user</t>
  </si>
  <si>
    <t xml:space="preserve">1. Log in with valid credentials
2. Observe the Products page</t>
  </si>
  <si>
    <t xml:space="preserve">6 product cards are displayed. Each card shows an image, name, description, price and an 'Add to cart' button.</t>
  </si>
  <si>
    <t xml:space="preserve">TC_SwagLabs_012</t>
  </si>
  <si>
    <t xml:space="preserve">Product details</t>
  </si>
  <si>
    <t xml:space="preserve">FR-2.2</t>
  </si>
  <si>
    <t xml:space="preserve">User can open product details</t>
  </si>
  <si>
    <t xml:space="preserve">Verify item details open when clicking the item image</t>
  </si>
  <si>
    <t xml:space="preserve">1. On the Products page, click the image of 'Sauce Labs Backpack'</t>
  </si>
  <si>
    <t xml:space="preserve">Item: Sauce Labs Backpack</t>
  </si>
  <si>
    <t xml:space="preserve">Details page opens (/inventory-item.html?id=4) showing the item's image, name, description, price, an 'Add to cart' button and a 'Back to products' button.</t>
  </si>
  <si>
    <t xml:space="preserve">TC_SwagLabs_013</t>
  </si>
  <si>
    <t xml:space="preserve">Verify item details open when clicking the item title</t>
  </si>
  <si>
    <t xml:space="preserve">1. On the Products page, click the title 'Sauce Labs Backpack'</t>
  </si>
  <si>
    <t xml:space="preserve">Same details page as above opens for the Backpack.</t>
  </si>
  <si>
    <t xml:space="preserve">TC_SwagLabs_014</t>
  </si>
  <si>
    <t xml:space="preserve">FR-2.3</t>
  </si>
  <si>
    <t xml:space="preserve">User can return to products from details</t>
  </si>
  <si>
    <t xml:space="preserve">Verify 'Back to products' returns the user to the products page</t>
  </si>
  <si>
    <t xml:space="preserve">User is on the details page of any item</t>
  </si>
  <si>
    <t xml:space="preserve">1. Click 'Back to products'</t>
  </si>
  <si>
    <t xml:space="preserve">User returns to /inventory.html and all 6 products are listed.</t>
  </si>
  <si>
    <t xml:space="preserve">TC_SwagLabs_015</t>
  </si>
  <si>
    <t xml:space="preserve">Cart</t>
  </si>
  <si>
    <t xml:space="preserve">FR-3.1</t>
  </si>
  <si>
    <t xml:space="preserve">Add item from products page</t>
  </si>
  <si>
    <t xml:space="preserve">Verify an item can be added to the cart from the products page</t>
  </si>
  <si>
    <t xml:space="preserve">User is logged in as standard_user; cart is empty</t>
  </si>
  <si>
    <t xml:space="preserve">1. On the Products page, click 'Add to cart' under 'Sauce Labs Backpack'</t>
  </si>
  <si>
    <t xml:space="preserve">The button changes to 'Remove' and the cart icon badge shows 1.</t>
  </si>
  <si>
    <t xml:space="preserve">TC_SwagLabs_016</t>
  </si>
  <si>
    <t xml:space="preserve">FR-3.2</t>
  </si>
  <si>
    <t xml:space="preserve">Remove item from products page</t>
  </si>
  <si>
    <t xml:space="preserve">Verify an item can be removed from the cart on the products page</t>
  </si>
  <si>
    <t xml:space="preserve">User is logged in as standard_user; Sauce Labs Backpack already added</t>
  </si>
  <si>
    <t xml:space="preserve">1. Click 'Remove' under 'Sauce Labs Backpack'</t>
  </si>
  <si>
    <t xml:space="preserve">The button reverts to 'Add to cart' and the cart badge disappears.</t>
  </si>
  <si>
    <t xml:space="preserve">TC_SwagLabs_017</t>
  </si>
  <si>
    <t xml:space="preserve">FR-3.3</t>
  </si>
  <si>
    <t xml:space="preserve">Add item from details page</t>
  </si>
  <si>
    <t xml:space="preserve">Verify an item can be added to the cart from the details page</t>
  </si>
  <si>
    <t xml:space="preserve">1. Open the details page of 'Sauce Labs Backpack'
2. Click 'Add to cart'</t>
  </si>
  <si>
    <t xml:space="preserve">The button changes to 'Remove' and the cart badge shows 1.</t>
  </si>
  <si>
    <t xml:space="preserve">TC_SwagLabs_018</t>
  </si>
  <si>
    <t xml:space="preserve">FR-3.4</t>
  </si>
  <si>
    <t xml:space="preserve">Remove item from details page</t>
  </si>
  <si>
    <t xml:space="preserve">Verify an item can be removed from the cart on the details page</t>
  </si>
  <si>
    <t xml:space="preserve">1. Open the details page of 'Sauce Labs Backpack'
2. Click 'Remove'</t>
  </si>
  <si>
    <t xml:space="preserve">TC_SwagLabs_019</t>
  </si>
  <si>
    <t xml:space="preserve">FR-3.5</t>
  </si>
  <si>
    <t xml:space="preserve">Cart persists on refresh</t>
  </si>
  <si>
    <t xml:space="preserve">Verify cart contents survive a page refresh</t>
  </si>
  <si>
    <t xml:space="preserve">1. Add 'Sauce Labs Backpack' to the cart
2. Refresh the page (F5)
3. Check the cart badge</t>
  </si>
  <si>
    <t xml:space="preserve">The badge still shows 1 and the item is still in the cart.</t>
  </si>
  <si>
    <t xml:space="preserve">TC_SwagLabs_020</t>
  </si>
  <si>
    <t xml:space="preserve">Cart page</t>
  </si>
  <si>
    <t xml:space="preserve">FR-4.1</t>
  </si>
  <si>
    <t xml:space="preserve">Cart badge shows item count</t>
  </si>
  <si>
    <t xml:space="preserve">Verify the cart badge count increases as items are added</t>
  </si>
  <si>
    <t xml:space="preserve">1. Add 'Sauce Labs Backpack'
2. Add 'Sauce Labs Bike Light'
3. Check the badge after each step</t>
  </si>
  <si>
    <t xml:space="preserve">Items: Sauce Labs Backpack, Sauce Labs Bike Light</t>
  </si>
  <si>
    <t xml:space="preserve">Badge shows 1 after the first item and 2 after the second.</t>
  </si>
  <si>
    <t xml:space="preserve">TC_SwagLabs_021</t>
  </si>
  <si>
    <t xml:space="preserve">Verify the cart badge count decreases as items are removed</t>
  </si>
  <si>
    <t xml:space="preserve">User is logged in as standard_user; 2 items in the cart</t>
  </si>
  <si>
    <t xml:space="preserve">1. Remove one item
2. Remove the other item
3. Check the badge after each step</t>
  </si>
  <si>
    <t xml:space="preserve">Badge shows 1 after the first removal and disappears after the second.</t>
  </si>
  <si>
    <t xml:space="preserve">TC_SwagLabs_022</t>
  </si>
  <si>
    <t xml:space="preserve">FR-4.2</t>
  </si>
  <si>
    <t xml:space="preserve">User can view the cart</t>
  </si>
  <si>
    <t xml:space="preserve">Verify the cart page lists the items added</t>
  </si>
  <si>
    <t xml:space="preserve">User is logged in as standard_user; Sauce Labs Backpack added</t>
  </si>
  <si>
    <t xml:space="preserve">1. Click the cart icon (top right)</t>
  </si>
  <si>
    <t xml:space="preserve">Cart page (/cart.html) shows the Backpack with quantity 1 and price $29.99, plus 'Continue Shopping' and 'Checkout' buttons.</t>
  </si>
  <si>
    <t xml:space="preserve">TC_SwagLabs_023</t>
  </si>
  <si>
    <t xml:space="preserve">FR-4.3</t>
  </si>
  <si>
    <t xml:space="preserve">User can continue shopping from the cart</t>
  </si>
  <si>
    <t xml:space="preserve">Verify 'Continue Shopping' returns the user to the products page</t>
  </si>
  <si>
    <t xml:space="preserve">User is logged in as standard_user; one item in the cart</t>
  </si>
  <si>
    <t xml:space="preserve">1. Click the cart icon
2. Click 'Continue Shopping'</t>
  </si>
  <si>
    <t xml:space="preserve">User returns to /inventory.html and the cart badge is unchanged.</t>
  </si>
  <si>
    <t xml:space="preserve">TC_SwagLabs_024</t>
  </si>
  <si>
    <t xml:space="preserve">FR-4.4</t>
  </si>
  <si>
    <t xml:space="preserve">User can remove items on the cart page</t>
  </si>
  <si>
    <t xml:space="preserve">Verify an item can be removed on the cart page</t>
  </si>
  <si>
    <t xml:space="preserve">1. Click the cart icon
2. Click 'Remove' beside the item</t>
  </si>
  <si>
    <t xml:space="preserve">The item disappears from the cart list and the badge disappears.</t>
  </si>
  <si>
    <t xml:space="preserve">TC_SwagLabs_025</t>
  </si>
  <si>
    <t xml:space="preserve">FR-4.5</t>
  </si>
  <si>
    <t xml:space="preserve">User can start checkout</t>
  </si>
  <si>
    <t xml:space="preserve">Verify the Checkout button opens the checkout form</t>
  </si>
  <si>
    <t xml:space="preserve">1. Click the cart icon
2. Click 'Checkout'</t>
  </si>
  <si>
    <t xml:space="preserve">User is taken to /checkout-step-one.html (Checkout: Your Information).</t>
  </si>
  <si>
    <t xml:space="preserve">TC_SwagLabs_026</t>
  </si>
  <si>
    <t xml:space="preserve">FR-4.6</t>
  </si>
  <si>
    <t xml:space="preserve">Checkout needs items in the cart</t>
  </si>
  <si>
    <t xml:space="preserve">Verify checkout is not allowed with an empty cart</t>
  </si>
  <si>
    <t xml:space="preserve">Checkout is blocked, or the user is warned that the cart is empty.</t>
  </si>
  <si>
    <t xml:space="preserve">Checkout was not blocked, it still navigated to /checkout-step-one.html (Checkout: Your Information even with an empty cart.</t>
  </si>
  <si>
    <t xml:space="preserve">Failed</t>
  </si>
  <si>
    <t xml:space="preserve">TC_SwagLabs_027</t>
  </si>
  <si>
    <t xml:space="preserve">Checkout</t>
  </si>
  <si>
    <t xml:space="preserve">FR-5.1</t>
  </si>
  <si>
    <t xml:space="preserve">Customer information is required</t>
  </si>
  <si>
    <t xml:space="preserve">Verify the checkout form accepts valid information</t>
  </si>
  <si>
    <t xml:space="preserve">User is logged in as standard_user; 1 item in cart; on 'Checkout: Your Information'</t>
  </si>
  <si>
    <t xml:space="preserve">1. Enter first name
2. Enter last name
3. Enter postal code
4. Click Continue</t>
  </si>
  <si>
    <t xml:space="preserve">First Name: John
Last Name: Doe
Postal Code: 2345</t>
  </si>
  <si>
    <t xml:space="preserve">User proceeds to /checkout-step-two.html (Checkout: Overview).</t>
  </si>
  <si>
    <t xml:space="preserve">TC_SwagLabs_028</t>
  </si>
  <si>
    <t xml:space="preserve">Verify an error is shown when First Name is empty</t>
  </si>
  <si>
    <t xml:space="preserve">1. Leave First Name empty
2. Enter last name
3. Enter postal code
4. Click Continue</t>
  </si>
  <si>
    <t xml:space="preserve">First Name: (empty)
Last Name: Doe
Postal Code: 2345</t>
  </si>
  <si>
    <t xml:space="preserve">Error shown: 'Error: First Name is required'. User stays on the form.</t>
  </si>
  <si>
    <t xml:space="preserve">TC_SwagLabs_029</t>
  </si>
  <si>
    <t xml:space="preserve">Verify an error is shown when Last Name is empty</t>
  </si>
  <si>
    <t xml:space="preserve">1. Enter first name
2. Leave Last Name empty
3. Enter postal code
4. Click Continue</t>
  </si>
  <si>
    <t xml:space="preserve">First Name: John
Last Name: (empty)
Postal Code: 2345</t>
  </si>
  <si>
    <t xml:space="preserve">Error shown: 'Error: Last Name is required'. User stays on the form.</t>
  </si>
  <si>
    <t xml:space="preserve">TC_SwagLabs_030</t>
  </si>
  <si>
    <t xml:space="preserve">Verify an error is shown when Postal Code is empty</t>
  </si>
  <si>
    <t xml:space="preserve">1. Enter first name
2. Enter last name
3. Leave Postal Code empty
4. Click Continue</t>
  </si>
  <si>
    <t xml:space="preserve">First Name: John
Last Name: Doe
Postal Code: (empty)</t>
  </si>
  <si>
    <t xml:space="preserve">Error shown: 'Error: Postal Code is required'. User stays on the form.</t>
  </si>
  <si>
    <t xml:space="preserve">TC_SwagLabs_031</t>
  </si>
  <si>
    <t xml:space="preserve">Verify an error is shown when all fields are empty</t>
  </si>
  <si>
    <t xml:space="preserve">1. Leave all three fields empty
2. Click Continue</t>
  </si>
  <si>
    <t xml:space="preserve">First Name: (empty)
Last Name: (empty)
Postal Code: (empty)</t>
  </si>
  <si>
    <t xml:space="preserve">Error shown: 'Error: First Name is required' (first field is validated first).</t>
  </si>
  <si>
    <t xml:space="preserve">TC_SwagLabs_032</t>
  </si>
  <si>
    <t xml:space="preserve">Verify the form accepts the minimum input length (1 character)</t>
  </si>
  <si>
    <t xml:space="preserve">Boundary</t>
  </si>
  <si>
    <t xml:space="preserve">1. Enter 1 character in each field
2. Click Continue</t>
  </si>
  <si>
    <t xml:space="preserve">First Name: A
Last Name: B
Postal Code: 1</t>
  </si>
  <si>
    <t xml:space="preserve">User proceeds to /checkout-step-two.html.</t>
  </si>
  <si>
    <t xml:space="preserve">TC_SwagLabs_033</t>
  </si>
  <si>
    <t xml:space="preserve">Verify the form handles special characters without breaking</t>
  </si>
  <si>
    <t xml:space="preserve">Low</t>
  </si>
  <si>
    <t xml:space="preserve">1. Enter special characters in each field
2. Click Continue</t>
  </si>
  <si>
    <t xml:space="preserve">First Name: !@#$%
Last Name: ^&amp;*()
Postal Code: @@@@@</t>
  </si>
  <si>
    <t xml:space="preserve">No crash or error page. Either the input is accepted or a clear validation message is shown. Record exactly what happens.</t>
  </si>
  <si>
    <t xml:space="preserve">The input is accepted and user is navigated to /checkout-step-two.html (Checkout: Overview).</t>
  </si>
  <si>
    <t xml:space="preserve">TC_SwagLabs_034</t>
  </si>
  <si>
    <t xml:space="preserve">FR-5.2</t>
  </si>
  <si>
    <t xml:space="preserve">Order overview shows totals</t>
  </si>
  <si>
    <t xml:space="preserve">Verify item total, tax and total for a single item</t>
  </si>
  <si>
    <t xml:space="preserve">User is logged in as standard_user; only Sauce Labs Backpack in the cart</t>
  </si>
  <si>
    <t xml:space="preserve">1. Go to checkout and enter valid information
2. Click Continue
3. Read the Item total, Tax and Total lines</t>
  </si>
  <si>
    <t xml:space="preserve">Item: Sauce Labs Backpack ($29.99)</t>
  </si>
  <si>
    <t xml:space="preserve">Item total: $29.99 | Tax: $2.40 | Total: $32.39</t>
  </si>
  <si>
    <t xml:space="preserve">TC_SwagLabs_035</t>
  </si>
  <si>
    <t xml:space="preserve">Verify item total, tax and total for multiple items</t>
  </si>
  <si>
    <t xml:space="preserve">User is logged in as standard_user; Backpack and Bike Light in the cart</t>
  </si>
  <si>
    <t xml:space="preserve">Items: Sauce Labs Backpack ($29.99), Sauce Labs Bike Light ($9.99)</t>
  </si>
  <si>
    <t xml:space="preserve">Item total: $39.98 | Tax: $3.20 | Total: $43.18</t>
  </si>
  <si>
    <t xml:space="preserve">TC_SwagLabs_036</t>
  </si>
  <si>
    <t xml:space="preserve">FR-5.3</t>
  </si>
  <si>
    <t xml:space="preserve">Order can be completed</t>
  </si>
  <si>
    <t xml:space="preserve">Verify the order completes after clicking Finish</t>
  </si>
  <si>
    <t xml:space="preserve">User is on 'Checkout: Overview' with 1 item</t>
  </si>
  <si>
    <t xml:space="preserve">1. Click Finish</t>
  </si>
  <si>
    <t xml:space="preserve">Confirmation page (/checkout-complete.html) shows 'Thank you for your order!', the cart badge is cleared and two buttons one says “Back Home” the other says “Generate PDF”.</t>
  </si>
  <si>
    <t xml:space="preserve">TC_SwagLabs_037</t>
  </si>
  <si>
    <t xml:space="preserve">FR-5.4</t>
  </si>
  <si>
    <t xml:space="preserve">User can cancel checkout</t>
  </si>
  <si>
    <t xml:space="preserve">Verify Cancel on the information page returns to the cart</t>
  </si>
  <si>
    <t xml:space="preserve">1. Click Cancel</t>
  </si>
  <si>
    <t xml:space="preserve">User returns to /cart.html and the item is still in the cart.</t>
  </si>
  <si>
    <t xml:space="preserve">TC_SwagLabs_038</t>
  </si>
  <si>
    <t xml:space="preserve">Verify Cancel on the overview page leaves the cart intact</t>
  </si>
  <si>
    <t xml:space="preserve">User returns to the products page and the item is still in the cart (badge shows 1).</t>
  </si>
  <si>
    <t xml:space="preserve">TC_SwagLabs_039</t>
  </si>
  <si>
    <t xml:space="preserve">FR-5.5</t>
  </si>
  <si>
    <t xml:space="preserve">User can return after ordering</t>
  </si>
  <si>
    <t xml:space="preserve">Verify 'Back Home' returns the user to the products page</t>
  </si>
  <si>
    <t xml:space="preserve">User is on the order confirmation page</t>
  </si>
  <si>
    <t xml:space="preserve">1. Click 'Back Home'</t>
  </si>
  <si>
    <t xml:space="preserve">User returns to /inventory.html and the cart is empty.</t>
  </si>
  <si>
    <t xml:space="preserve">TC_SwagLabs_040</t>
  </si>
  <si>
    <t xml:space="preserve">FR-6.1</t>
  </si>
  <si>
    <t xml:space="preserve">Products can be sorted</t>
  </si>
  <si>
    <t xml:space="preserve">Verify products sort by Name (A to Z)</t>
  </si>
  <si>
    <t xml:space="preserve">1. On the Products page open the sort dropdown (top right)
2. Select 'Name (A to Z)'</t>
  </si>
  <si>
    <t xml:space="preserve">Sort option: Name (A to Z)</t>
  </si>
  <si>
    <t xml:space="preserve">Order: Sauce Labs Backpack, Sauce Labs Bike Light, Sauce Labs Bolt T-Shirt, Sauce Labs Fleece Jacket, Sauce Labs Onesie, Test.allTheThings() T-Shirt (Red).</t>
  </si>
  <si>
    <t xml:space="preserve">TC_SwagLabs_041</t>
  </si>
  <si>
    <t xml:space="preserve">Verify products sort by Name (Z to A)</t>
  </si>
  <si>
    <t xml:space="preserve">1. On the Products page open the sort dropdown
2. Select 'Name (Z to A)'</t>
  </si>
  <si>
    <t xml:space="preserve">Sort option: Name (Z to A)</t>
  </si>
  <si>
    <t xml:space="preserve">Order is the reverse of A to Z: Test.allTheThings() T-Shirt (Red) first, Sauce Labs Backpack last.</t>
  </si>
  <si>
    <t xml:space="preserve">TC_SwagLabs_042</t>
  </si>
  <si>
    <t xml:space="preserve">Verify products sort by Price (low to high)</t>
  </si>
  <si>
    <t xml:space="preserve">1. On the Products page open the sort dropdown
2. Select 'Price (low to high)'</t>
  </si>
  <si>
    <t xml:space="preserve">Sort option: Price (low to high)</t>
  </si>
  <si>
    <t xml:space="preserve">Prices ascend: $7.99, $9.99, $15.99, $15.99, $29.99, $49.99 (order of the two $15.99 items isn't specified).</t>
  </si>
  <si>
    <t xml:space="preserve">TC_SwagLabs_043</t>
  </si>
  <si>
    <t xml:space="preserve">Verify products sort by Price (high to low)</t>
  </si>
  <si>
    <t xml:space="preserve">1. On the Products page open the sort dropdown
2. Select 'Price (high to low)'</t>
  </si>
  <si>
    <t xml:space="preserve">Sort option: Price (high to low)</t>
  </si>
  <si>
    <t xml:space="preserve">Prices descend: $49.99, $29.99, $15.99, $15.99, $9.99, $7.99.</t>
  </si>
  <si>
    <t xml:space="preserve">TC_SwagLabs_044</t>
  </si>
  <si>
    <t xml:space="preserve">Menu</t>
  </si>
  <si>
    <t xml:space="preserve">FR-7.1</t>
  </si>
  <si>
    <t xml:space="preserve">User can log out</t>
  </si>
  <si>
    <t xml:space="preserve">Verify the user can log out</t>
  </si>
  <si>
    <t xml:space="preserve">1. Click the menu icon (top left)
2. Click Logout</t>
  </si>
  <si>
    <t xml:space="preserve">User is returned to the login page (https://www.saucedemo.com/).</t>
  </si>
  <si>
    <t xml:space="preserve">TC_SwagLabs_045</t>
  </si>
  <si>
    <t xml:space="preserve">Verify the products page is not accessible with the Back button after logout</t>
  </si>
  <si>
    <t xml:space="preserve">1. Log out
2. Click the browser Back button</t>
  </si>
  <si>
    <t xml:space="preserve">The products page is not shown; the user sees the login page (or the 'You can only access...' error).</t>
  </si>
  <si>
    <t xml:space="preserve">TC_SwagLabs_046</t>
  </si>
  <si>
    <t xml:space="preserve">FR-7.2</t>
  </si>
  <si>
    <t xml:space="preserve">User can reset the app state</t>
  </si>
  <si>
    <t xml:space="preserve">Verify Reset App State clears the cart</t>
  </si>
  <si>
    <t xml:space="preserve">1. Click the menu icon
2. Click 'Reset App State'
3. Check the cart badge and the product buttons</t>
  </si>
  <si>
    <t xml:space="preserve">The cart badge is cleared. Note whether the buttons return to 'Add to cart' without a refresh.</t>
  </si>
  <si>
    <t xml:space="preserve">The cart badge is cleared but the “add to cart” button returns only after a refresh.</t>
  </si>
  <si>
    <t xml:space="preserve">TC_SwagLabs_047</t>
  </si>
  <si>
    <t xml:space="preserve">Verify product buttons return to “Add to cart” after Reset App State without a page refresh</t>
  </si>
  <si>
    <t xml:space="preserve">1. Click the menu icon
2. Click 'Reset App State'
3. Look at the buttons on the Products page without refreshing</t>
  </si>
  <si>
    <t xml:space="preserve">The buttons for the items that were in the cart return to “Add to cart”.</t>
  </si>
  <si>
    <t xml:space="preserve">The buttons still read “Remove”. They only return to “Add to cart” after a refresh.</t>
  </si>
  <si>
    <t xml:space="preserve">Requirement</t>
  </si>
  <si>
    <t xml:space="preserve">Origin</t>
  </si>
  <si>
    <t xml:space="preserve">Linked Cases</t>
  </si>
  <si>
    <t xml:space="preserve">A user with valid credentials can log in and is taken to the products page.</t>
  </si>
  <si>
    <t xml:space="preserve">Yours (1.1)</t>
  </si>
  <si>
    <t xml:space="preserve">Login is rejected with an error message when the username or password is incorrect.</t>
  </si>
  <si>
    <t xml:space="preserve">Split from your 1.1</t>
  </si>
  <si>
    <t xml:space="preserve">Username and password are both required; an error is shown if either is empty.</t>
  </si>
  <si>
    <t xml:space="preserve">A locked-out user cannot log in and sees a lock-out message.</t>
  </si>
  <si>
    <t xml:space="preserve">Protected pages cannot be opened without being logged in.</t>
  </si>
  <si>
    <t xml:space="preserve">The products page displays all products with image, name, description, price and an Add to cart button.</t>
  </si>
  <si>
    <t xml:space="preserve">Yours (2.1)</t>
  </si>
  <si>
    <t xml:space="preserve">Clicking a product's image or title opens its details page.</t>
  </si>
  <si>
    <t xml:space="preserve">Yours (2.2)</t>
  </si>
  <si>
    <t xml:space="preserve">The user can return to the products page from the details page.</t>
  </si>
  <si>
    <t xml:space="preserve">Yours (2.3)</t>
  </si>
  <si>
    <t xml:space="preserve">The user can add an item to the cart from the products page.</t>
  </si>
  <si>
    <t xml:space="preserve">Yours (3.1)</t>
  </si>
  <si>
    <t xml:space="preserve">The user can remove an item from the cart on the products page.</t>
  </si>
  <si>
    <t xml:space="preserve">Yours (3.2)</t>
  </si>
  <si>
    <t xml:space="preserve">The user can add an item to the cart from the details page.</t>
  </si>
  <si>
    <t xml:space="preserve">Yours (3.3)</t>
  </si>
  <si>
    <t xml:space="preserve">The user can remove an item from the cart on the details page.</t>
  </si>
  <si>
    <t xml:space="preserve">Yours (3.4)</t>
  </si>
  <si>
    <t xml:space="preserve">Cart contents persist when the page is refreshed.</t>
  </si>
  <si>
    <t xml:space="preserve">The cart icon shows a badge with the number of items, updating as items are added or removed.</t>
  </si>
  <si>
    <t xml:space="preserve">Yours (4.1)</t>
  </si>
  <si>
    <t xml:space="preserve">Clicking the cart icon opens the cart page listing the items in the cart.</t>
  </si>
  <si>
    <t xml:space="preserve">Yours (4.2)</t>
  </si>
  <si>
    <t xml:space="preserve">The user can return to the products page from the cart with 'Continue Shopping'.</t>
  </si>
  <si>
    <t xml:space="preserve">Yours (4.3)</t>
  </si>
  <si>
    <t xml:space="preserve">The user can remove items from the cart page.</t>
  </si>
  <si>
    <t xml:space="preserve">Yours (4.4)</t>
  </si>
  <si>
    <t xml:space="preserve">The user can start checkout from the cart page.</t>
  </si>
  <si>
    <t xml:space="preserve">Yours (4.5)</t>
  </si>
  <si>
    <t xml:space="preserve">Checkout is not allowed when the cart is empty.</t>
  </si>
  <si>
    <t xml:space="preserve">First name, last name and postal code are required before the user can continue.</t>
  </si>
  <si>
    <t xml:space="preserve">Yours (5.1)</t>
  </si>
  <si>
    <t xml:space="preserve">The overview page shows the item total, tax and order total.</t>
  </si>
  <si>
    <t xml:space="preserve">Yours (5.2)</t>
  </si>
  <si>
    <t xml:space="preserve">Clicking Finish completes the order and shows a confirmation.</t>
  </si>
  <si>
    <t xml:space="preserve">Yours (5.3, reworded)</t>
  </si>
  <si>
    <t xml:space="preserve">The user can cancel checkout without losing the cart.</t>
  </si>
  <si>
    <t xml:space="preserve">After an order, the user can return to the products page.</t>
  </si>
  <si>
    <t xml:space="preserve">Products can be sorted by name (A-Z, Z-A) and by price (low-high, high-low).</t>
  </si>
  <si>
    <t xml:space="preserve">Yours (6.1)</t>
  </si>
  <si>
    <t xml:space="preserve">The user can log out, which ends the session.</t>
  </si>
  <si>
    <t xml:space="preserve">The user can reset the app state, which clears the cart.</t>
  </si>
  <si>
    <t xml:space="preserve">Test Execution Summary</t>
  </si>
  <si>
    <t xml:space="preserve">Total test cases</t>
  </si>
  <si>
    <t xml:space="preserve">Executed (Passed + Failed + Blocked)</t>
  </si>
  <si>
    <t xml:space="preserve">% executed</t>
  </si>
  <si>
    <t xml:space="preserve">Pass rate (of Passed + Failed)</t>
  </si>
  <si>
    <t xml:space="preserve">Negative + Boundary share</t>
  </si>
  <si>
    <t xml:space="preserve">By Status</t>
  </si>
  <si>
    <t xml:space="preserve">Count</t>
  </si>
  <si>
    <t xml:space="preserve">% of total</t>
  </si>
  <si>
    <t xml:space="preserve">Not Run</t>
  </si>
  <si>
    <t xml:space="preserve">Blocked</t>
  </si>
  <si>
    <t xml:space="preserve">By Type</t>
  </si>
  <si>
    <t xml:space="preserve">By Priority</t>
  </si>
  <si>
    <t xml:space="preserve">By Module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</si>
</sst>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</font>
    <font>
      <b val="true"/>
      <sz val="10"/>
      <name val="Arial"/>
      <family val="0"/>
    </font>
    <font>
      <sz val="10"/>
      <name val="Times New Roman"/>
      <family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  <fill>
      <patternFill patternType="solid">
        <fgColor rgb="FF158466"/>
        <bgColor rgb="FF008080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158466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0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23.85" hidden="false" customHeight="false" outlineLevel="0" collapsed="false">
      <c r="B5" s="4" t="s">
        <v>2</v>
      </c>
      <c r="C5" s="5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6"/>
      <c r="C8" s="5"/>
    </row>
    <row r="9" customFormat="false" ht="15" hidden="false" customHeight="false" outlineLevel="0" collapsed="false">
      <c r="B9" s="4" t="s">
        <v>8</v>
      </c>
      <c r="C9" s="5"/>
    </row>
    <row r="10" customFormat="false" ht="15" hidden="false" customHeight="false" outlineLevel="0" collapsed="false">
      <c r="B10" s="4" t="s">
        <v>9</v>
      </c>
      <c r="C10" s="5" t="s">
        <v>10</v>
      </c>
    </row>
    <row r="11" customFormat="false" ht="15" hidden="false" customHeight="false" outlineLevel="0" collapsed="false">
      <c r="B11" s="4" t="s">
        <v>11</v>
      </c>
      <c r="C11" s="5" t="s">
        <v>12</v>
      </c>
    </row>
    <row r="12" customFormat="false" ht="15" hidden="false" customHeight="false" outlineLevel="0" collapsed="false">
      <c r="B12" s="4" t="s">
        <v>13</v>
      </c>
      <c r="C12" s="5" t="s">
        <v>14</v>
      </c>
    </row>
    <row r="13" customFormat="false" ht="15" hidden="false" customHeight="false" outlineLevel="0" collapsed="false">
      <c r="B13" s="4" t="s">
        <v>15</v>
      </c>
      <c r="C13" s="5" t="s">
        <v>16</v>
      </c>
    </row>
    <row r="14" customFormat="false" ht="15" hidden="false" customHeight="false" outlineLevel="0" collapsed="false">
      <c r="B14" s="6"/>
      <c r="C14" s="5"/>
    </row>
    <row r="15" customFormat="false" ht="35.05" hidden="false" customHeight="false" outlineLevel="0" collapsed="false">
      <c r="B15" s="7" t="s">
        <v>17</v>
      </c>
      <c r="C15" s="8" t="s">
        <v>18</v>
      </c>
    </row>
    <row r="16" customFormat="false" ht="23.85" hidden="false" customHeight="false" outlineLevel="0" collapsed="false">
      <c r="B16" s="4" t="s">
        <v>19</v>
      </c>
      <c r="C16" s="5" t="s">
        <v>20</v>
      </c>
    </row>
    <row r="17" customFormat="false" ht="23.85" hidden="false" customHeight="false" outlineLevel="0" collapsed="false">
      <c r="B17" s="4" t="s">
        <v>21</v>
      </c>
      <c r="C17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true" showOutlineSymbols="true" defaultGridColor="true" view="normal" topLeftCell="A1" colorId="64" zoomScale="99" zoomScaleNormal="99" zoomScalePageLayoutView="100" workbookViewId="0">
      <pane xSplit="1" ySplit="1" topLeftCell="G45" activePane="bottomRight" state="frozen"/>
      <selection pane="topLeft" activeCell="A1" activeCellId="0" sqref="A1"/>
      <selection pane="topRight" activeCell="G1" activeCellId="0" sqref="G1"/>
      <selection pane="bottomLeft" activeCell="A45" activeCellId="0" sqref="A45"/>
      <selection pane="bottomRight" activeCell="K48" activeCellId="0" sqref="K48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30"/>
    <col collapsed="false" customWidth="true" hidden="false" outlineLevel="0" max="9" min="9" style="1" width="44"/>
    <col collapsed="false" customWidth="true" hidden="false" outlineLevel="0" max="10" min="10" style="1" width="30"/>
    <col collapsed="false" customWidth="true" hidden="false" outlineLevel="0" max="11" min="11" style="1" width="46"/>
    <col collapsed="false" customWidth="true" hidden="false" outlineLevel="0" max="12" min="12" style="1" width="24"/>
    <col collapsed="false" customWidth="true" hidden="false" outlineLevel="0" max="13" min="13" style="1" width="11"/>
    <col collapsed="false" customWidth="true" hidden="false" outlineLevel="0" max="14" min="14" style="1" width="16"/>
    <col collapsed="false" customWidth="true" hidden="false" outlineLevel="0" max="15" min="15" style="1" width="54"/>
  </cols>
  <sheetData>
    <row r="1" customFormat="false" ht="27.75" hidden="false" customHeight="tru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0"/>
      <c r="O1" s="0"/>
    </row>
    <row r="2" customFormat="false" ht="46.25" hidden="false" customHeight="false" outlineLevel="0" collapsed="false">
      <c r="A2" s="10" t="s">
        <v>36</v>
      </c>
      <c r="B2" s="11" t="s">
        <v>37</v>
      </c>
      <c r="C2" s="12" t="s">
        <v>38</v>
      </c>
      <c r="D2" s="11" t="s">
        <v>39</v>
      </c>
      <c r="E2" s="11" t="s">
        <v>40</v>
      </c>
      <c r="F2" s="12" t="s">
        <v>41</v>
      </c>
      <c r="G2" s="12" t="s">
        <v>42</v>
      </c>
      <c r="H2" s="11" t="s">
        <v>43</v>
      </c>
      <c r="I2" s="11" t="s">
        <v>44</v>
      </c>
      <c r="J2" s="11" t="s">
        <v>45</v>
      </c>
      <c r="K2" s="11" t="s">
        <v>46</v>
      </c>
      <c r="L2" s="11" t="s">
        <v>47</v>
      </c>
      <c r="M2" s="13" t="s">
        <v>48</v>
      </c>
      <c r="N2" s="0"/>
      <c r="O2" s="0"/>
    </row>
    <row r="3" customFormat="false" ht="46.25" hidden="false" customHeight="false" outlineLevel="0" collapsed="false">
      <c r="A3" s="10" t="s">
        <v>49</v>
      </c>
      <c r="B3" s="11" t="s">
        <v>37</v>
      </c>
      <c r="C3" s="12" t="s">
        <v>50</v>
      </c>
      <c r="D3" s="11" t="s">
        <v>51</v>
      </c>
      <c r="E3" s="11" t="s">
        <v>52</v>
      </c>
      <c r="F3" s="12" t="s">
        <v>53</v>
      </c>
      <c r="G3" s="12" t="s">
        <v>42</v>
      </c>
      <c r="H3" s="11" t="s">
        <v>43</v>
      </c>
      <c r="I3" s="11" t="s">
        <v>54</v>
      </c>
      <c r="J3" s="11" t="s">
        <v>55</v>
      </c>
      <c r="K3" s="11" t="s">
        <v>56</v>
      </c>
      <c r="L3" s="11" t="s">
        <v>47</v>
      </c>
      <c r="M3" s="13" t="s">
        <v>48</v>
      </c>
      <c r="N3" s="0"/>
      <c r="O3" s="0"/>
    </row>
    <row r="4" customFormat="false" ht="46.25" hidden="false" customHeight="false" outlineLevel="0" collapsed="false">
      <c r="A4" s="10" t="s">
        <v>57</v>
      </c>
      <c r="B4" s="11" t="s">
        <v>37</v>
      </c>
      <c r="C4" s="12" t="s">
        <v>50</v>
      </c>
      <c r="D4" s="11" t="s">
        <v>51</v>
      </c>
      <c r="E4" s="11" t="s">
        <v>58</v>
      </c>
      <c r="F4" s="12" t="s">
        <v>53</v>
      </c>
      <c r="G4" s="12" t="s">
        <v>42</v>
      </c>
      <c r="H4" s="11" t="s">
        <v>43</v>
      </c>
      <c r="I4" s="11" t="s">
        <v>59</v>
      </c>
      <c r="J4" s="11" t="s">
        <v>60</v>
      </c>
      <c r="K4" s="11" t="s">
        <v>61</v>
      </c>
      <c r="L4" s="11" t="s">
        <v>47</v>
      </c>
      <c r="M4" s="12" t="s">
        <v>48</v>
      </c>
      <c r="N4" s="0"/>
      <c r="O4" s="0"/>
    </row>
    <row r="5" customFormat="false" ht="46.25" hidden="false" customHeight="false" outlineLevel="0" collapsed="false">
      <c r="A5" s="10" t="s">
        <v>62</v>
      </c>
      <c r="B5" s="11" t="s">
        <v>37</v>
      </c>
      <c r="C5" s="12" t="s">
        <v>50</v>
      </c>
      <c r="D5" s="11" t="s">
        <v>51</v>
      </c>
      <c r="E5" s="11" t="s">
        <v>63</v>
      </c>
      <c r="F5" s="12" t="s">
        <v>53</v>
      </c>
      <c r="G5" s="12" t="s">
        <v>64</v>
      </c>
      <c r="H5" s="11" t="s">
        <v>43</v>
      </c>
      <c r="I5" s="11" t="s">
        <v>65</v>
      </c>
      <c r="J5" s="11" t="s">
        <v>66</v>
      </c>
      <c r="K5" s="11" t="s">
        <v>61</v>
      </c>
      <c r="L5" s="11" t="s">
        <v>47</v>
      </c>
      <c r="M5" s="12" t="s">
        <v>48</v>
      </c>
      <c r="N5" s="0"/>
      <c r="O5" s="0"/>
    </row>
    <row r="6" customFormat="false" ht="46.25" hidden="false" customHeight="false" outlineLevel="0" collapsed="false">
      <c r="A6" s="10" t="s">
        <v>67</v>
      </c>
      <c r="B6" s="11" t="s">
        <v>37</v>
      </c>
      <c r="C6" s="12" t="s">
        <v>68</v>
      </c>
      <c r="D6" s="11" t="s">
        <v>69</v>
      </c>
      <c r="E6" s="11" t="s">
        <v>70</v>
      </c>
      <c r="F6" s="12" t="s">
        <v>53</v>
      </c>
      <c r="G6" s="12" t="s">
        <v>42</v>
      </c>
      <c r="H6" s="11" t="s">
        <v>43</v>
      </c>
      <c r="I6" s="11" t="s">
        <v>71</v>
      </c>
      <c r="J6" s="11" t="s">
        <v>72</v>
      </c>
      <c r="K6" s="11" t="s">
        <v>73</v>
      </c>
      <c r="L6" s="11" t="s">
        <v>47</v>
      </c>
      <c r="M6" s="12" t="s">
        <v>48</v>
      </c>
      <c r="N6" s="0"/>
      <c r="O6" s="0"/>
    </row>
    <row r="7" customFormat="false" ht="46.25" hidden="false" customHeight="false" outlineLevel="0" collapsed="false">
      <c r="A7" s="10" t="s">
        <v>74</v>
      </c>
      <c r="B7" s="11" t="s">
        <v>37</v>
      </c>
      <c r="C7" s="12" t="s">
        <v>68</v>
      </c>
      <c r="D7" s="11" t="s">
        <v>69</v>
      </c>
      <c r="E7" s="11" t="s">
        <v>75</v>
      </c>
      <c r="F7" s="12" t="s">
        <v>53</v>
      </c>
      <c r="G7" s="12" t="s">
        <v>42</v>
      </c>
      <c r="H7" s="11" t="s">
        <v>43</v>
      </c>
      <c r="I7" s="11" t="s">
        <v>76</v>
      </c>
      <c r="J7" s="11" t="s">
        <v>77</v>
      </c>
      <c r="K7" s="11" t="s">
        <v>78</v>
      </c>
      <c r="L7" s="11" t="s">
        <v>47</v>
      </c>
      <c r="M7" s="12" t="s">
        <v>48</v>
      </c>
      <c r="N7" s="0"/>
      <c r="O7" s="0"/>
    </row>
    <row r="8" customFormat="false" ht="35.05" hidden="false" customHeight="false" outlineLevel="0" collapsed="false">
      <c r="A8" s="10" t="s">
        <v>79</v>
      </c>
      <c r="B8" s="11" t="s">
        <v>37</v>
      </c>
      <c r="C8" s="12" t="s">
        <v>68</v>
      </c>
      <c r="D8" s="11" t="s">
        <v>69</v>
      </c>
      <c r="E8" s="11" t="s">
        <v>80</v>
      </c>
      <c r="F8" s="12" t="s">
        <v>53</v>
      </c>
      <c r="G8" s="12" t="s">
        <v>64</v>
      </c>
      <c r="H8" s="11" t="s">
        <v>43</v>
      </c>
      <c r="I8" s="11" t="s">
        <v>81</v>
      </c>
      <c r="J8" s="11" t="s">
        <v>82</v>
      </c>
      <c r="K8" s="11" t="s">
        <v>83</v>
      </c>
      <c r="L8" s="11" t="s">
        <v>47</v>
      </c>
      <c r="M8" s="12" t="s">
        <v>48</v>
      </c>
      <c r="N8" s="0"/>
      <c r="O8" s="0"/>
    </row>
    <row r="9" customFormat="false" ht="35.05" hidden="false" customHeight="false" outlineLevel="0" collapsed="false">
      <c r="A9" s="10" t="s">
        <v>84</v>
      </c>
      <c r="B9" s="11" t="s">
        <v>37</v>
      </c>
      <c r="C9" s="12" t="s">
        <v>85</v>
      </c>
      <c r="D9" s="11" t="s">
        <v>86</v>
      </c>
      <c r="E9" s="11" t="s">
        <v>87</v>
      </c>
      <c r="F9" s="12" t="s">
        <v>53</v>
      </c>
      <c r="G9" s="12" t="s">
        <v>42</v>
      </c>
      <c r="H9" s="11" t="s">
        <v>43</v>
      </c>
      <c r="I9" s="11" t="s">
        <v>88</v>
      </c>
      <c r="J9" s="11" t="s">
        <v>89</v>
      </c>
      <c r="K9" s="11" t="s">
        <v>90</v>
      </c>
      <c r="L9" s="11" t="s">
        <v>47</v>
      </c>
      <c r="M9" s="12" t="s">
        <v>48</v>
      </c>
      <c r="N9" s="0"/>
      <c r="O9" s="0"/>
    </row>
    <row r="10" customFormat="false" ht="23.85" hidden="false" customHeight="false" outlineLevel="0" collapsed="false">
      <c r="A10" s="10" t="s">
        <v>91</v>
      </c>
      <c r="B10" s="11" t="s">
        <v>37</v>
      </c>
      <c r="C10" s="12" t="s">
        <v>92</v>
      </c>
      <c r="D10" s="11" t="s">
        <v>93</v>
      </c>
      <c r="E10" s="11" t="s">
        <v>94</v>
      </c>
      <c r="F10" s="12" t="s">
        <v>53</v>
      </c>
      <c r="G10" s="12" t="s">
        <v>42</v>
      </c>
      <c r="H10" s="11" t="s">
        <v>95</v>
      </c>
      <c r="I10" s="11" t="s">
        <v>96</v>
      </c>
      <c r="J10" s="11" t="s">
        <v>97</v>
      </c>
      <c r="K10" s="11" t="s">
        <v>98</v>
      </c>
      <c r="L10" s="11" t="s">
        <v>47</v>
      </c>
      <c r="M10" s="12" t="s">
        <v>48</v>
      </c>
      <c r="N10" s="0"/>
      <c r="O10" s="0"/>
    </row>
    <row r="11" customFormat="false" ht="46.25" hidden="false" customHeight="false" outlineLevel="0" collapsed="false">
      <c r="A11" s="10" t="s">
        <v>99</v>
      </c>
      <c r="B11" s="11" t="s">
        <v>37</v>
      </c>
      <c r="C11" s="12" t="s">
        <v>50</v>
      </c>
      <c r="D11" s="11" t="s">
        <v>51</v>
      </c>
      <c r="E11" s="11" t="s">
        <v>100</v>
      </c>
      <c r="F11" s="12" t="s">
        <v>53</v>
      </c>
      <c r="G11" s="12" t="s">
        <v>64</v>
      </c>
      <c r="H11" s="11" t="s">
        <v>43</v>
      </c>
      <c r="I11" s="11" t="s">
        <v>101</v>
      </c>
      <c r="J11" s="11" t="s">
        <v>102</v>
      </c>
      <c r="K11" s="11" t="s">
        <v>103</v>
      </c>
      <c r="L11" s="11" t="s">
        <v>47</v>
      </c>
      <c r="M11" s="12" t="s">
        <v>48</v>
      </c>
      <c r="N11" s="0"/>
      <c r="O11" s="0"/>
    </row>
    <row r="12" customFormat="false" ht="23.85" hidden="false" customHeight="false" outlineLevel="0" collapsed="false">
      <c r="A12" s="10" t="s">
        <v>104</v>
      </c>
      <c r="B12" s="11" t="s">
        <v>105</v>
      </c>
      <c r="C12" s="12" t="s">
        <v>106</v>
      </c>
      <c r="D12" s="11" t="s">
        <v>107</v>
      </c>
      <c r="E12" s="11" t="s">
        <v>108</v>
      </c>
      <c r="F12" s="12" t="s">
        <v>41</v>
      </c>
      <c r="G12" s="12" t="s">
        <v>42</v>
      </c>
      <c r="H12" s="11" t="s">
        <v>109</v>
      </c>
      <c r="I12" s="11" t="s">
        <v>110</v>
      </c>
      <c r="J12" s="11" t="s">
        <v>45</v>
      </c>
      <c r="K12" s="11" t="s">
        <v>111</v>
      </c>
      <c r="L12" s="11" t="s">
        <v>47</v>
      </c>
      <c r="M12" s="12" t="s">
        <v>48</v>
      </c>
      <c r="N12" s="0"/>
      <c r="O12" s="0"/>
    </row>
    <row r="13" customFormat="false" ht="35.05" hidden="false" customHeight="false" outlineLevel="0" collapsed="false">
      <c r="A13" s="10" t="s">
        <v>112</v>
      </c>
      <c r="B13" s="11" t="s">
        <v>113</v>
      </c>
      <c r="C13" s="12" t="s">
        <v>114</v>
      </c>
      <c r="D13" s="11" t="s">
        <v>115</v>
      </c>
      <c r="E13" s="11" t="s">
        <v>116</v>
      </c>
      <c r="F13" s="12" t="s">
        <v>41</v>
      </c>
      <c r="G13" s="12" t="s">
        <v>64</v>
      </c>
      <c r="H13" s="11" t="s">
        <v>109</v>
      </c>
      <c r="I13" s="11" t="s">
        <v>117</v>
      </c>
      <c r="J13" s="11" t="s">
        <v>118</v>
      </c>
      <c r="K13" s="11" t="s">
        <v>119</v>
      </c>
      <c r="L13" s="11" t="s">
        <v>47</v>
      </c>
      <c r="M13" s="12" t="s">
        <v>48</v>
      </c>
      <c r="N13" s="0"/>
      <c r="O13" s="0"/>
    </row>
    <row r="14" customFormat="false" ht="23.85" hidden="false" customHeight="false" outlineLevel="0" collapsed="false">
      <c r="A14" s="10" t="s">
        <v>120</v>
      </c>
      <c r="B14" s="11" t="s">
        <v>113</v>
      </c>
      <c r="C14" s="12" t="s">
        <v>114</v>
      </c>
      <c r="D14" s="11" t="s">
        <v>115</v>
      </c>
      <c r="E14" s="11" t="s">
        <v>121</v>
      </c>
      <c r="F14" s="12" t="s">
        <v>41</v>
      </c>
      <c r="G14" s="12" t="s">
        <v>64</v>
      </c>
      <c r="H14" s="11" t="s">
        <v>109</v>
      </c>
      <c r="I14" s="11" t="s">
        <v>122</v>
      </c>
      <c r="J14" s="11" t="s">
        <v>118</v>
      </c>
      <c r="K14" s="11" t="s">
        <v>123</v>
      </c>
      <c r="L14" s="11" t="s">
        <v>47</v>
      </c>
      <c r="M14" s="12" t="s">
        <v>48</v>
      </c>
      <c r="N14" s="0"/>
      <c r="O14" s="0"/>
    </row>
    <row r="15" customFormat="false" ht="23.85" hidden="false" customHeight="false" outlineLevel="0" collapsed="false">
      <c r="A15" s="10" t="s">
        <v>124</v>
      </c>
      <c r="B15" s="11" t="s">
        <v>113</v>
      </c>
      <c r="C15" s="12" t="s">
        <v>125</v>
      </c>
      <c r="D15" s="11" t="s">
        <v>126</v>
      </c>
      <c r="E15" s="11" t="s">
        <v>127</v>
      </c>
      <c r="F15" s="12" t="s">
        <v>41</v>
      </c>
      <c r="G15" s="12" t="s">
        <v>64</v>
      </c>
      <c r="H15" s="11" t="s">
        <v>128</v>
      </c>
      <c r="I15" s="11" t="s">
        <v>129</v>
      </c>
      <c r="J15" s="11" t="s">
        <v>97</v>
      </c>
      <c r="K15" s="11" t="s">
        <v>130</v>
      </c>
      <c r="L15" s="11" t="s">
        <v>47</v>
      </c>
      <c r="M15" s="12" t="s">
        <v>48</v>
      </c>
      <c r="N15" s="0"/>
      <c r="O15" s="0"/>
    </row>
    <row r="16" customFormat="false" ht="23.85" hidden="false" customHeight="false" outlineLevel="0" collapsed="false">
      <c r="A16" s="10" t="s">
        <v>131</v>
      </c>
      <c r="B16" s="11" t="s">
        <v>132</v>
      </c>
      <c r="C16" s="12" t="s">
        <v>133</v>
      </c>
      <c r="D16" s="11" t="s">
        <v>134</v>
      </c>
      <c r="E16" s="11" t="s">
        <v>135</v>
      </c>
      <c r="F16" s="12" t="s">
        <v>41</v>
      </c>
      <c r="G16" s="12" t="s">
        <v>42</v>
      </c>
      <c r="H16" s="11" t="s">
        <v>136</v>
      </c>
      <c r="I16" s="11" t="s">
        <v>137</v>
      </c>
      <c r="J16" s="11" t="s">
        <v>118</v>
      </c>
      <c r="K16" s="11" t="s">
        <v>138</v>
      </c>
      <c r="L16" s="11" t="s">
        <v>47</v>
      </c>
      <c r="M16" s="12" t="s">
        <v>48</v>
      </c>
      <c r="N16" s="0"/>
      <c r="O16" s="0"/>
    </row>
    <row r="17" customFormat="false" ht="23.85" hidden="false" customHeight="false" outlineLevel="0" collapsed="false">
      <c r="A17" s="10" t="s">
        <v>139</v>
      </c>
      <c r="B17" s="11" t="s">
        <v>132</v>
      </c>
      <c r="C17" s="12" t="s">
        <v>140</v>
      </c>
      <c r="D17" s="11" t="s">
        <v>141</v>
      </c>
      <c r="E17" s="11" t="s">
        <v>142</v>
      </c>
      <c r="F17" s="12" t="s">
        <v>41</v>
      </c>
      <c r="G17" s="12" t="s">
        <v>42</v>
      </c>
      <c r="H17" s="11" t="s">
        <v>143</v>
      </c>
      <c r="I17" s="11" t="s">
        <v>144</v>
      </c>
      <c r="J17" s="11" t="s">
        <v>118</v>
      </c>
      <c r="K17" s="11" t="s">
        <v>145</v>
      </c>
      <c r="L17" s="11" t="s">
        <v>47</v>
      </c>
      <c r="M17" s="12" t="s">
        <v>48</v>
      </c>
      <c r="N17" s="0"/>
      <c r="O17" s="0"/>
    </row>
    <row r="18" customFormat="false" ht="23.85" hidden="false" customHeight="false" outlineLevel="0" collapsed="false">
      <c r="A18" s="10" t="s">
        <v>146</v>
      </c>
      <c r="B18" s="11" t="s">
        <v>132</v>
      </c>
      <c r="C18" s="12" t="s">
        <v>147</v>
      </c>
      <c r="D18" s="11" t="s">
        <v>148</v>
      </c>
      <c r="E18" s="11" t="s">
        <v>149</v>
      </c>
      <c r="F18" s="12" t="s">
        <v>41</v>
      </c>
      <c r="G18" s="12" t="s">
        <v>64</v>
      </c>
      <c r="H18" s="11" t="s">
        <v>136</v>
      </c>
      <c r="I18" s="11" t="s">
        <v>150</v>
      </c>
      <c r="J18" s="11" t="s">
        <v>118</v>
      </c>
      <c r="K18" s="11" t="s">
        <v>151</v>
      </c>
      <c r="L18" s="11" t="s">
        <v>47</v>
      </c>
      <c r="M18" s="12" t="s">
        <v>48</v>
      </c>
      <c r="N18" s="0"/>
      <c r="O18" s="0"/>
    </row>
    <row r="19" customFormat="false" ht="23.85" hidden="false" customHeight="false" outlineLevel="0" collapsed="false">
      <c r="A19" s="10" t="s">
        <v>152</v>
      </c>
      <c r="B19" s="11" t="s">
        <v>132</v>
      </c>
      <c r="C19" s="12" t="s">
        <v>153</v>
      </c>
      <c r="D19" s="11" t="s">
        <v>154</v>
      </c>
      <c r="E19" s="11" t="s">
        <v>155</v>
      </c>
      <c r="F19" s="12" t="s">
        <v>41</v>
      </c>
      <c r="G19" s="12" t="s">
        <v>64</v>
      </c>
      <c r="H19" s="11" t="s">
        <v>143</v>
      </c>
      <c r="I19" s="11" t="s">
        <v>156</v>
      </c>
      <c r="J19" s="11" t="s">
        <v>118</v>
      </c>
      <c r="K19" s="11" t="s">
        <v>145</v>
      </c>
      <c r="L19" s="11" t="s">
        <v>47</v>
      </c>
      <c r="M19" s="12" t="s">
        <v>48</v>
      </c>
      <c r="N19" s="0"/>
      <c r="O19" s="0"/>
    </row>
    <row r="20" customFormat="false" ht="35.05" hidden="false" customHeight="false" outlineLevel="0" collapsed="false">
      <c r="A20" s="10" t="s">
        <v>157</v>
      </c>
      <c r="B20" s="11" t="s">
        <v>132</v>
      </c>
      <c r="C20" s="12" t="s">
        <v>158</v>
      </c>
      <c r="D20" s="11" t="s">
        <v>159</v>
      </c>
      <c r="E20" s="11" t="s">
        <v>160</v>
      </c>
      <c r="F20" s="12" t="s">
        <v>41</v>
      </c>
      <c r="G20" s="12" t="s">
        <v>64</v>
      </c>
      <c r="H20" s="11" t="s">
        <v>136</v>
      </c>
      <c r="I20" s="11" t="s">
        <v>161</v>
      </c>
      <c r="J20" s="11" t="s">
        <v>118</v>
      </c>
      <c r="K20" s="11" t="s">
        <v>162</v>
      </c>
      <c r="L20" s="11" t="s">
        <v>47</v>
      </c>
      <c r="M20" s="12" t="s">
        <v>48</v>
      </c>
      <c r="N20" s="0"/>
      <c r="O20" s="0"/>
    </row>
    <row r="21" customFormat="false" ht="35.05" hidden="false" customHeight="false" outlineLevel="0" collapsed="false">
      <c r="A21" s="10" t="s">
        <v>163</v>
      </c>
      <c r="B21" s="11" t="s">
        <v>164</v>
      </c>
      <c r="C21" s="12" t="s">
        <v>165</v>
      </c>
      <c r="D21" s="11" t="s">
        <v>166</v>
      </c>
      <c r="E21" s="11" t="s">
        <v>167</v>
      </c>
      <c r="F21" s="12" t="s">
        <v>41</v>
      </c>
      <c r="G21" s="12" t="s">
        <v>42</v>
      </c>
      <c r="H21" s="11" t="s">
        <v>136</v>
      </c>
      <c r="I21" s="11" t="s">
        <v>168</v>
      </c>
      <c r="J21" s="11" t="s">
        <v>169</v>
      </c>
      <c r="K21" s="11" t="s">
        <v>170</v>
      </c>
      <c r="L21" s="11" t="s">
        <v>47</v>
      </c>
      <c r="M21" s="12" t="s">
        <v>48</v>
      </c>
      <c r="N21" s="0"/>
      <c r="O21" s="0"/>
    </row>
    <row r="22" customFormat="false" ht="35.05" hidden="false" customHeight="false" outlineLevel="0" collapsed="false">
      <c r="A22" s="10" t="s">
        <v>171</v>
      </c>
      <c r="B22" s="11" t="s">
        <v>164</v>
      </c>
      <c r="C22" s="12" t="s">
        <v>165</v>
      </c>
      <c r="D22" s="11" t="s">
        <v>166</v>
      </c>
      <c r="E22" s="11" t="s">
        <v>172</v>
      </c>
      <c r="F22" s="12" t="s">
        <v>41</v>
      </c>
      <c r="G22" s="12" t="s">
        <v>64</v>
      </c>
      <c r="H22" s="11" t="s">
        <v>173</v>
      </c>
      <c r="I22" s="11" t="s">
        <v>174</v>
      </c>
      <c r="J22" s="11" t="s">
        <v>169</v>
      </c>
      <c r="K22" s="11" t="s">
        <v>175</v>
      </c>
      <c r="L22" s="11" t="s">
        <v>47</v>
      </c>
      <c r="M22" s="12" t="s">
        <v>48</v>
      </c>
      <c r="N22" s="0"/>
      <c r="O22" s="0"/>
    </row>
    <row r="23" customFormat="false" ht="23.85" hidden="false" customHeight="false" outlineLevel="0" collapsed="false">
      <c r="A23" s="10" t="s">
        <v>176</v>
      </c>
      <c r="B23" s="11" t="s">
        <v>164</v>
      </c>
      <c r="C23" s="12" t="s">
        <v>177</v>
      </c>
      <c r="D23" s="11" t="s">
        <v>178</v>
      </c>
      <c r="E23" s="11" t="s">
        <v>179</v>
      </c>
      <c r="F23" s="12" t="s">
        <v>41</v>
      </c>
      <c r="G23" s="12" t="s">
        <v>42</v>
      </c>
      <c r="H23" s="11" t="s">
        <v>180</v>
      </c>
      <c r="I23" s="11" t="s">
        <v>181</v>
      </c>
      <c r="J23" s="11" t="s">
        <v>118</v>
      </c>
      <c r="K23" s="11" t="s">
        <v>182</v>
      </c>
      <c r="L23" s="11" t="s">
        <v>47</v>
      </c>
      <c r="M23" s="12" t="s">
        <v>48</v>
      </c>
      <c r="N23" s="0"/>
      <c r="O23" s="0"/>
    </row>
    <row r="24" customFormat="false" ht="23.85" hidden="false" customHeight="false" outlineLevel="0" collapsed="false">
      <c r="A24" s="10" t="s">
        <v>183</v>
      </c>
      <c r="B24" s="11" t="s">
        <v>164</v>
      </c>
      <c r="C24" s="12" t="s">
        <v>184</v>
      </c>
      <c r="D24" s="11" t="s">
        <v>185</v>
      </c>
      <c r="E24" s="11" t="s">
        <v>186</v>
      </c>
      <c r="F24" s="12" t="s">
        <v>41</v>
      </c>
      <c r="G24" s="12" t="s">
        <v>64</v>
      </c>
      <c r="H24" s="11" t="s">
        <v>187</v>
      </c>
      <c r="I24" s="11" t="s">
        <v>188</v>
      </c>
      <c r="J24" s="11" t="s">
        <v>97</v>
      </c>
      <c r="K24" s="11" t="s">
        <v>189</v>
      </c>
      <c r="L24" s="11" t="s">
        <v>47</v>
      </c>
      <c r="M24" s="12" t="s">
        <v>48</v>
      </c>
      <c r="N24" s="0"/>
      <c r="O24" s="0"/>
    </row>
    <row r="25" customFormat="false" ht="23.85" hidden="false" customHeight="false" outlineLevel="0" collapsed="false">
      <c r="A25" s="10" t="s">
        <v>190</v>
      </c>
      <c r="B25" s="11" t="s">
        <v>164</v>
      </c>
      <c r="C25" s="12" t="s">
        <v>191</v>
      </c>
      <c r="D25" s="11" t="s">
        <v>192</v>
      </c>
      <c r="E25" s="11" t="s">
        <v>193</v>
      </c>
      <c r="F25" s="12" t="s">
        <v>41</v>
      </c>
      <c r="G25" s="12" t="s">
        <v>64</v>
      </c>
      <c r="H25" s="11" t="s">
        <v>187</v>
      </c>
      <c r="I25" s="11" t="s">
        <v>194</v>
      </c>
      <c r="J25" s="11" t="s">
        <v>118</v>
      </c>
      <c r="K25" s="11" t="s">
        <v>195</v>
      </c>
      <c r="L25" s="11" t="s">
        <v>47</v>
      </c>
      <c r="M25" s="12" t="s">
        <v>48</v>
      </c>
      <c r="N25" s="0"/>
      <c r="O25" s="0"/>
    </row>
    <row r="26" customFormat="false" ht="23.85" hidden="false" customHeight="false" outlineLevel="0" collapsed="false">
      <c r="A26" s="10" t="s">
        <v>196</v>
      </c>
      <c r="B26" s="11" t="s">
        <v>164</v>
      </c>
      <c r="C26" s="12" t="s">
        <v>197</v>
      </c>
      <c r="D26" s="11" t="s">
        <v>198</v>
      </c>
      <c r="E26" s="11" t="s">
        <v>199</v>
      </c>
      <c r="F26" s="12" t="s">
        <v>41</v>
      </c>
      <c r="G26" s="12" t="s">
        <v>42</v>
      </c>
      <c r="H26" s="11" t="s">
        <v>187</v>
      </c>
      <c r="I26" s="11" t="s">
        <v>200</v>
      </c>
      <c r="J26" s="11" t="s">
        <v>97</v>
      </c>
      <c r="K26" s="11" t="s">
        <v>201</v>
      </c>
      <c r="L26" s="11" t="s">
        <v>47</v>
      </c>
      <c r="M26" s="12" t="s">
        <v>48</v>
      </c>
      <c r="N26" s="0"/>
      <c r="O26" s="0"/>
    </row>
    <row r="27" customFormat="false" ht="57.45" hidden="false" customHeight="false" outlineLevel="0" collapsed="false">
      <c r="A27" s="10" t="s">
        <v>202</v>
      </c>
      <c r="B27" s="11" t="s">
        <v>164</v>
      </c>
      <c r="C27" s="12" t="s">
        <v>203</v>
      </c>
      <c r="D27" s="11" t="s">
        <v>204</v>
      </c>
      <c r="E27" s="11" t="s">
        <v>205</v>
      </c>
      <c r="F27" s="12" t="s">
        <v>53</v>
      </c>
      <c r="G27" s="12" t="s">
        <v>64</v>
      </c>
      <c r="H27" s="11" t="s">
        <v>136</v>
      </c>
      <c r="I27" s="11" t="s">
        <v>200</v>
      </c>
      <c r="J27" s="11" t="s">
        <v>97</v>
      </c>
      <c r="K27" s="11" t="s">
        <v>206</v>
      </c>
      <c r="L27" s="11" t="s">
        <v>207</v>
      </c>
      <c r="M27" s="12" t="s">
        <v>208</v>
      </c>
      <c r="N27" s="0"/>
      <c r="O27" s="0"/>
    </row>
    <row r="28" customFormat="false" ht="46.25" hidden="false" customHeight="false" outlineLevel="0" collapsed="false">
      <c r="A28" s="10" t="s">
        <v>209</v>
      </c>
      <c r="B28" s="11" t="s">
        <v>210</v>
      </c>
      <c r="C28" s="12" t="s">
        <v>211</v>
      </c>
      <c r="D28" s="11" t="s">
        <v>212</v>
      </c>
      <c r="E28" s="11" t="s">
        <v>213</v>
      </c>
      <c r="F28" s="12" t="s">
        <v>41</v>
      </c>
      <c r="G28" s="12" t="s">
        <v>42</v>
      </c>
      <c r="H28" s="11" t="s">
        <v>214</v>
      </c>
      <c r="I28" s="11" t="s">
        <v>215</v>
      </c>
      <c r="J28" s="11" t="s">
        <v>216</v>
      </c>
      <c r="K28" s="11" t="s">
        <v>217</v>
      </c>
      <c r="L28" s="11" t="s">
        <v>47</v>
      </c>
      <c r="M28" s="12" t="s">
        <v>48</v>
      </c>
      <c r="N28" s="0"/>
      <c r="O28" s="0"/>
    </row>
    <row r="29" customFormat="false" ht="46.25" hidden="false" customHeight="false" outlineLevel="0" collapsed="false">
      <c r="A29" s="10" t="s">
        <v>218</v>
      </c>
      <c r="B29" s="11" t="s">
        <v>210</v>
      </c>
      <c r="C29" s="12" t="s">
        <v>211</v>
      </c>
      <c r="D29" s="11" t="s">
        <v>212</v>
      </c>
      <c r="E29" s="11" t="s">
        <v>219</v>
      </c>
      <c r="F29" s="12" t="s">
        <v>53</v>
      </c>
      <c r="G29" s="12" t="s">
        <v>42</v>
      </c>
      <c r="H29" s="11" t="s">
        <v>214</v>
      </c>
      <c r="I29" s="11" t="s">
        <v>220</v>
      </c>
      <c r="J29" s="11" t="s">
        <v>221</v>
      </c>
      <c r="K29" s="11" t="s">
        <v>222</v>
      </c>
      <c r="L29" s="11" t="s">
        <v>47</v>
      </c>
      <c r="M29" s="12" t="s">
        <v>48</v>
      </c>
      <c r="N29" s="0"/>
      <c r="O29" s="0"/>
    </row>
    <row r="30" customFormat="false" ht="46.25" hidden="false" customHeight="false" outlineLevel="0" collapsed="false">
      <c r="A30" s="10" t="s">
        <v>223</v>
      </c>
      <c r="B30" s="11" t="s">
        <v>210</v>
      </c>
      <c r="C30" s="12" t="s">
        <v>211</v>
      </c>
      <c r="D30" s="11" t="s">
        <v>212</v>
      </c>
      <c r="E30" s="11" t="s">
        <v>224</v>
      </c>
      <c r="F30" s="12" t="s">
        <v>53</v>
      </c>
      <c r="G30" s="12" t="s">
        <v>42</v>
      </c>
      <c r="H30" s="11" t="s">
        <v>214</v>
      </c>
      <c r="I30" s="11" t="s">
        <v>225</v>
      </c>
      <c r="J30" s="11" t="s">
        <v>226</v>
      </c>
      <c r="K30" s="11" t="s">
        <v>227</v>
      </c>
      <c r="L30" s="11" t="s">
        <v>47</v>
      </c>
      <c r="M30" s="12" t="s">
        <v>48</v>
      </c>
      <c r="N30" s="0"/>
      <c r="O30" s="0"/>
    </row>
    <row r="31" customFormat="false" ht="46.25" hidden="false" customHeight="false" outlineLevel="0" collapsed="false">
      <c r="A31" s="10" t="s">
        <v>228</v>
      </c>
      <c r="B31" s="11" t="s">
        <v>210</v>
      </c>
      <c r="C31" s="12" t="s">
        <v>211</v>
      </c>
      <c r="D31" s="11" t="s">
        <v>212</v>
      </c>
      <c r="E31" s="11" t="s">
        <v>229</v>
      </c>
      <c r="F31" s="12" t="s">
        <v>53</v>
      </c>
      <c r="G31" s="12" t="s">
        <v>42</v>
      </c>
      <c r="H31" s="11" t="s">
        <v>214</v>
      </c>
      <c r="I31" s="11" t="s">
        <v>230</v>
      </c>
      <c r="J31" s="11" t="s">
        <v>231</v>
      </c>
      <c r="K31" s="11" t="s">
        <v>232</v>
      </c>
      <c r="L31" s="11" t="s">
        <v>47</v>
      </c>
      <c r="M31" s="12" t="s">
        <v>48</v>
      </c>
      <c r="N31" s="0"/>
      <c r="O31" s="0"/>
    </row>
    <row r="32" customFormat="false" ht="35.05" hidden="false" customHeight="false" outlineLevel="0" collapsed="false">
      <c r="A32" s="10" t="s">
        <v>233</v>
      </c>
      <c r="B32" s="11" t="s">
        <v>210</v>
      </c>
      <c r="C32" s="12" t="s">
        <v>211</v>
      </c>
      <c r="D32" s="11" t="s">
        <v>212</v>
      </c>
      <c r="E32" s="11" t="s">
        <v>234</v>
      </c>
      <c r="F32" s="12" t="s">
        <v>53</v>
      </c>
      <c r="G32" s="12" t="s">
        <v>64</v>
      </c>
      <c r="H32" s="11" t="s">
        <v>214</v>
      </c>
      <c r="I32" s="11" t="s">
        <v>235</v>
      </c>
      <c r="J32" s="11" t="s">
        <v>236</v>
      </c>
      <c r="K32" s="11" t="s">
        <v>237</v>
      </c>
      <c r="L32" s="11" t="s">
        <v>47</v>
      </c>
      <c r="M32" s="12" t="s">
        <v>48</v>
      </c>
      <c r="N32" s="0"/>
      <c r="O32" s="0"/>
    </row>
    <row r="33" customFormat="false" ht="35.05" hidden="false" customHeight="false" outlineLevel="0" collapsed="false">
      <c r="A33" s="10" t="s">
        <v>238</v>
      </c>
      <c r="B33" s="11" t="s">
        <v>210</v>
      </c>
      <c r="C33" s="12" t="s">
        <v>211</v>
      </c>
      <c r="D33" s="11" t="s">
        <v>212</v>
      </c>
      <c r="E33" s="11" t="s">
        <v>239</v>
      </c>
      <c r="F33" s="12" t="s">
        <v>240</v>
      </c>
      <c r="G33" s="12" t="s">
        <v>64</v>
      </c>
      <c r="H33" s="11" t="s">
        <v>214</v>
      </c>
      <c r="I33" s="11" t="s">
        <v>241</v>
      </c>
      <c r="J33" s="11" t="s">
        <v>242</v>
      </c>
      <c r="K33" s="11" t="s">
        <v>243</v>
      </c>
      <c r="L33" s="11" t="s">
        <v>47</v>
      </c>
      <c r="M33" s="12" t="s">
        <v>48</v>
      </c>
      <c r="N33" s="0"/>
      <c r="O33" s="0"/>
    </row>
    <row r="34" customFormat="false" ht="35.05" hidden="false" customHeight="false" outlineLevel="0" collapsed="false">
      <c r="A34" s="10" t="s">
        <v>244</v>
      </c>
      <c r="B34" s="11" t="s">
        <v>210</v>
      </c>
      <c r="C34" s="12" t="s">
        <v>211</v>
      </c>
      <c r="D34" s="11" t="s">
        <v>212</v>
      </c>
      <c r="E34" s="11" t="s">
        <v>245</v>
      </c>
      <c r="F34" s="12" t="s">
        <v>53</v>
      </c>
      <c r="G34" s="12" t="s">
        <v>246</v>
      </c>
      <c r="H34" s="11" t="s">
        <v>214</v>
      </c>
      <c r="I34" s="11" t="s">
        <v>247</v>
      </c>
      <c r="J34" s="11" t="s">
        <v>248</v>
      </c>
      <c r="K34" s="11" t="s">
        <v>249</v>
      </c>
      <c r="L34" s="11" t="s">
        <v>250</v>
      </c>
      <c r="M34" s="12" t="s">
        <v>48</v>
      </c>
      <c r="N34" s="0"/>
      <c r="O34" s="0"/>
    </row>
    <row r="35" customFormat="false" ht="35.05" hidden="false" customHeight="false" outlineLevel="0" collapsed="false">
      <c r="A35" s="10" t="s">
        <v>251</v>
      </c>
      <c r="B35" s="11" t="s">
        <v>210</v>
      </c>
      <c r="C35" s="12" t="s">
        <v>252</v>
      </c>
      <c r="D35" s="11" t="s">
        <v>253</v>
      </c>
      <c r="E35" s="11" t="s">
        <v>254</v>
      </c>
      <c r="F35" s="12" t="s">
        <v>41</v>
      </c>
      <c r="G35" s="12" t="s">
        <v>42</v>
      </c>
      <c r="H35" s="11" t="s">
        <v>255</v>
      </c>
      <c r="I35" s="11" t="s">
        <v>256</v>
      </c>
      <c r="J35" s="11" t="s">
        <v>257</v>
      </c>
      <c r="K35" s="11" t="s">
        <v>258</v>
      </c>
      <c r="L35" s="11" t="s">
        <v>47</v>
      </c>
      <c r="M35" s="12" t="s">
        <v>48</v>
      </c>
      <c r="N35" s="0"/>
      <c r="O35" s="0"/>
    </row>
    <row r="36" customFormat="false" ht="35.05" hidden="false" customHeight="false" outlineLevel="0" collapsed="false">
      <c r="A36" s="10" t="s">
        <v>259</v>
      </c>
      <c r="B36" s="11" t="s">
        <v>210</v>
      </c>
      <c r="C36" s="12" t="s">
        <v>252</v>
      </c>
      <c r="D36" s="11" t="s">
        <v>253</v>
      </c>
      <c r="E36" s="11" t="s">
        <v>260</v>
      </c>
      <c r="F36" s="12" t="s">
        <v>41</v>
      </c>
      <c r="G36" s="12" t="s">
        <v>42</v>
      </c>
      <c r="H36" s="11" t="s">
        <v>261</v>
      </c>
      <c r="I36" s="11" t="s">
        <v>256</v>
      </c>
      <c r="J36" s="11" t="s">
        <v>262</v>
      </c>
      <c r="K36" s="11" t="s">
        <v>263</v>
      </c>
      <c r="L36" s="11" t="s">
        <v>47</v>
      </c>
      <c r="M36" s="12" t="s">
        <v>48</v>
      </c>
      <c r="N36" s="0"/>
      <c r="O36" s="0"/>
    </row>
    <row r="37" customFormat="false" ht="35.05" hidden="false" customHeight="false" outlineLevel="0" collapsed="false">
      <c r="A37" s="10" t="s">
        <v>264</v>
      </c>
      <c r="B37" s="11" t="s">
        <v>210</v>
      </c>
      <c r="C37" s="12" t="s">
        <v>265</v>
      </c>
      <c r="D37" s="11" t="s">
        <v>266</v>
      </c>
      <c r="E37" s="11" t="s">
        <v>267</v>
      </c>
      <c r="F37" s="12" t="s">
        <v>41</v>
      </c>
      <c r="G37" s="12" t="s">
        <v>42</v>
      </c>
      <c r="H37" s="11" t="s">
        <v>268</v>
      </c>
      <c r="I37" s="11" t="s">
        <v>269</v>
      </c>
      <c r="J37" s="11" t="s">
        <v>97</v>
      </c>
      <c r="K37" s="11" t="s">
        <v>270</v>
      </c>
      <c r="L37" s="11" t="s">
        <v>47</v>
      </c>
      <c r="M37" s="12" t="s">
        <v>48</v>
      </c>
      <c r="N37" s="0"/>
      <c r="O37" s="0"/>
    </row>
    <row r="38" customFormat="false" ht="35.05" hidden="false" customHeight="false" outlineLevel="0" collapsed="false">
      <c r="A38" s="10" t="s">
        <v>271</v>
      </c>
      <c r="B38" s="11" t="s">
        <v>210</v>
      </c>
      <c r="C38" s="12" t="s">
        <v>272</v>
      </c>
      <c r="D38" s="11" t="s">
        <v>273</v>
      </c>
      <c r="E38" s="11" t="s">
        <v>274</v>
      </c>
      <c r="F38" s="12" t="s">
        <v>41</v>
      </c>
      <c r="G38" s="12" t="s">
        <v>64</v>
      </c>
      <c r="H38" s="11" t="s">
        <v>214</v>
      </c>
      <c r="I38" s="11" t="s">
        <v>275</v>
      </c>
      <c r="J38" s="11" t="s">
        <v>97</v>
      </c>
      <c r="K38" s="11" t="s">
        <v>276</v>
      </c>
      <c r="L38" s="11" t="s">
        <v>47</v>
      </c>
      <c r="M38" s="12" t="s">
        <v>48</v>
      </c>
      <c r="N38" s="0"/>
      <c r="O38" s="0"/>
    </row>
    <row r="39" customFormat="false" ht="23.85" hidden="false" customHeight="false" outlineLevel="0" collapsed="false">
      <c r="A39" s="10" t="s">
        <v>277</v>
      </c>
      <c r="B39" s="11" t="s">
        <v>210</v>
      </c>
      <c r="C39" s="12" t="s">
        <v>272</v>
      </c>
      <c r="D39" s="11" t="s">
        <v>273</v>
      </c>
      <c r="E39" s="11" t="s">
        <v>278</v>
      </c>
      <c r="F39" s="12" t="s">
        <v>41</v>
      </c>
      <c r="G39" s="12" t="s">
        <v>64</v>
      </c>
      <c r="H39" s="11" t="s">
        <v>268</v>
      </c>
      <c r="I39" s="11" t="s">
        <v>275</v>
      </c>
      <c r="J39" s="11" t="s">
        <v>97</v>
      </c>
      <c r="K39" s="11" t="s">
        <v>279</v>
      </c>
      <c r="L39" s="11" t="s">
        <v>47</v>
      </c>
      <c r="M39" s="12" t="s">
        <v>48</v>
      </c>
      <c r="N39" s="0"/>
      <c r="O39" s="0"/>
    </row>
    <row r="40" customFormat="false" ht="23.85" hidden="false" customHeight="false" outlineLevel="0" collapsed="false">
      <c r="A40" s="10" t="s">
        <v>280</v>
      </c>
      <c r="B40" s="11" t="s">
        <v>210</v>
      </c>
      <c r="C40" s="12" t="s">
        <v>281</v>
      </c>
      <c r="D40" s="11" t="s">
        <v>282</v>
      </c>
      <c r="E40" s="11" t="s">
        <v>283</v>
      </c>
      <c r="F40" s="12" t="s">
        <v>41</v>
      </c>
      <c r="G40" s="12" t="s">
        <v>246</v>
      </c>
      <c r="H40" s="11" t="s">
        <v>284</v>
      </c>
      <c r="I40" s="11" t="s">
        <v>285</v>
      </c>
      <c r="J40" s="11" t="s">
        <v>97</v>
      </c>
      <c r="K40" s="11" t="s">
        <v>286</v>
      </c>
      <c r="L40" s="11" t="s">
        <v>47</v>
      </c>
      <c r="M40" s="12" t="s">
        <v>48</v>
      </c>
      <c r="N40" s="0"/>
      <c r="O40" s="0"/>
    </row>
    <row r="41" customFormat="false" ht="35.05" hidden="false" customHeight="false" outlineLevel="0" collapsed="false">
      <c r="A41" s="10" t="s">
        <v>287</v>
      </c>
      <c r="B41" s="11" t="s">
        <v>105</v>
      </c>
      <c r="C41" s="12" t="s">
        <v>288</v>
      </c>
      <c r="D41" s="11" t="s">
        <v>289</v>
      </c>
      <c r="E41" s="11" t="s">
        <v>290</v>
      </c>
      <c r="F41" s="12" t="s">
        <v>41</v>
      </c>
      <c r="G41" s="12" t="s">
        <v>64</v>
      </c>
      <c r="H41" s="11" t="s">
        <v>109</v>
      </c>
      <c r="I41" s="11" t="s">
        <v>291</v>
      </c>
      <c r="J41" s="11" t="s">
        <v>292</v>
      </c>
      <c r="K41" s="11" t="s">
        <v>293</v>
      </c>
      <c r="L41" s="11" t="s">
        <v>47</v>
      </c>
      <c r="M41" s="12" t="s">
        <v>48</v>
      </c>
      <c r="N41" s="0"/>
      <c r="O41" s="14"/>
    </row>
    <row r="42" customFormat="false" ht="23.85" hidden="false" customHeight="false" outlineLevel="0" collapsed="false">
      <c r="A42" s="10" t="s">
        <v>294</v>
      </c>
      <c r="B42" s="11" t="s">
        <v>105</v>
      </c>
      <c r="C42" s="12" t="s">
        <v>288</v>
      </c>
      <c r="D42" s="11" t="s">
        <v>289</v>
      </c>
      <c r="E42" s="11" t="s">
        <v>295</v>
      </c>
      <c r="F42" s="12" t="s">
        <v>41</v>
      </c>
      <c r="G42" s="12" t="s">
        <v>64</v>
      </c>
      <c r="H42" s="11" t="s">
        <v>109</v>
      </c>
      <c r="I42" s="11" t="s">
        <v>296</v>
      </c>
      <c r="J42" s="11" t="s">
        <v>297</v>
      </c>
      <c r="K42" s="11" t="s">
        <v>298</v>
      </c>
      <c r="L42" s="11" t="s">
        <v>47</v>
      </c>
      <c r="M42" s="12" t="s">
        <v>48</v>
      </c>
      <c r="N42" s="0"/>
      <c r="O42" s="0"/>
    </row>
    <row r="43" customFormat="false" ht="23.85" hidden="false" customHeight="false" outlineLevel="0" collapsed="false">
      <c r="A43" s="10" t="s">
        <v>299</v>
      </c>
      <c r="B43" s="11" t="s">
        <v>105</v>
      </c>
      <c r="C43" s="12" t="s">
        <v>288</v>
      </c>
      <c r="D43" s="11" t="s">
        <v>289</v>
      </c>
      <c r="E43" s="11" t="s">
        <v>300</v>
      </c>
      <c r="F43" s="12" t="s">
        <v>41</v>
      </c>
      <c r="G43" s="12" t="s">
        <v>64</v>
      </c>
      <c r="H43" s="11" t="s">
        <v>109</v>
      </c>
      <c r="I43" s="11" t="s">
        <v>301</v>
      </c>
      <c r="J43" s="11" t="s">
        <v>302</v>
      </c>
      <c r="K43" s="11" t="s">
        <v>303</v>
      </c>
      <c r="L43" s="11" t="s">
        <v>47</v>
      </c>
      <c r="M43" s="12" t="s">
        <v>48</v>
      </c>
      <c r="N43" s="0"/>
      <c r="O43" s="0"/>
    </row>
    <row r="44" customFormat="false" ht="23.85" hidden="false" customHeight="false" outlineLevel="0" collapsed="false">
      <c r="A44" s="10" t="s">
        <v>304</v>
      </c>
      <c r="B44" s="11" t="s">
        <v>105</v>
      </c>
      <c r="C44" s="12" t="s">
        <v>288</v>
      </c>
      <c r="D44" s="11" t="s">
        <v>289</v>
      </c>
      <c r="E44" s="11" t="s">
        <v>305</v>
      </c>
      <c r="F44" s="12" t="s">
        <v>41</v>
      </c>
      <c r="G44" s="12" t="s">
        <v>64</v>
      </c>
      <c r="H44" s="11" t="s">
        <v>109</v>
      </c>
      <c r="I44" s="11" t="s">
        <v>306</v>
      </c>
      <c r="J44" s="11" t="s">
        <v>307</v>
      </c>
      <c r="K44" s="11" t="s">
        <v>308</v>
      </c>
      <c r="L44" s="11" t="s">
        <v>47</v>
      </c>
      <c r="M44" s="12" t="s">
        <v>48</v>
      </c>
      <c r="N44" s="0"/>
      <c r="O44" s="0"/>
    </row>
    <row r="45" customFormat="false" ht="23.85" hidden="false" customHeight="false" outlineLevel="0" collapsed="false">
      <c r="A45" s="10" t="s">
        <v>309</v>
      </c>
      <c r="B45" s="11" t="s">
        <v>310</v>
      </c>
      <c r="C45" s="12" t="s">
        <v>311</v>
      </c>
      <c r="D45" s="11" t="s">
        <v>312</v>
      </c>
      <c r="E45" s="11" t="s">
        <v>313</v>
      </c>
      <c r="F45" s="12" t="s">
        <v>41</v>
      </c>
      <c r="G45" s="12" t="s">
        <v>42</v>
      </c>
      <c r="H45" s="11" t="s">
        <v>109</v>
      </c>
      <c r="I45" s="11" t="s">
        <v>314</v>
      </c>
      <c r="J45" s="11" t="s">
        <v>97</v>
      </c>
      <c r="K45" s="11" t="s">
        <v>315</v>
      </c>
      <c r="L45" s="11" t="s">
        <v>47</v>
      </c>
      <c r="M45" s="12" t="s">
        <v>48</v>
      </c>
      <c r="N45" s="0"/>
      <c r="O45" s="0"/>
    </row>
    <row r="46" customFormat="false" ht="23.85" hidden="false" customHeight="false" outlineLevel="0" collapsed="false">
      <c r="A46" s="10" t="s">
        <v>316</v>
      </c>
      <c r="B46" s="11" t="s">
        <v>310</v>
      </c>
      <c r="C46" s="12" t="s">
        <v>311</v>
      </c>
      <c r="D46" s="11" t="s">
        <v>312</v>
      </c>
      <c r="E46" s="11" t="s">
        <v>317</v>
      </c>
      <c r="F46" s="12" t="s">
        <v>53</v>
      </c>
      <c r="G46" s="12" t="s">
        <v>64</v>
      </c>
      <c r="H46" s="11" t="s">
        <v>109</v>
      </c>
      <c r="I46" s="11" t="s">
        <v>318</v>
      </c>
      <c r="J46" s="11" t="s">
        <v>97</v>
      </c>
      <c r="K46" s="11" t="s">
        <v>319</v>
      </c>
      <c r="L46" s="11" t="s">
        <v>47</v>
      </c>
      <c r="M46" s="12" t="s">
        <v>48</v>
      </c>
      <c r="N46" s="0"/>
      <c r="O46" s="0"/>
    </row>
    <row r="47" customFormat="false" ht="35.4" hidden="false" customHeight="false" outlineLevel="0" collapsed="false">
      <c r="A47" s="10" t="s">
        <v>320</v>
      </c>
      <c r="B47" s="11" t="s">
        <v>310</v>
      </c>
      <c r="C47" s="12" t="s">
        <v>321</v>
      </c>
      <c r="D47" s="11" t="s">
        <v>322</v>
      </c>
      <c r="E47" s="11" t="s">
        <v>323</v>
      </c>
      <c r="F47" s="12" t="s">
        <v>41</v>
      </c>
      <c r="G47" s="12" t="s">
        <v>246</v>
      </c>
      <c r="H47" s="11" t="s">
        <v>173</v>
      </c>
      <c r="I47" s="11" t="s">
        <v>324</v>
      </c>
      <c r="J47" s="11" t="s">
        <v>97</v>
      </c>
      <c r="K47" s="11" t="s">
        <v>325</v>
      </c>
      <c r="L47" s="11" t="s">
        <v>326</v>
      </c>
      <c r="M47" s="12" t="s">
        <v>48</v>
      </c>
      <c r="N47" s="0"/>
      <c r="O47" s="0"/>
    </row>
    <row r="48" customFormat="false" ht="46.7" hidden="false" customHeight="false" outlineLevel="0" collapsed="false">
      <c r="A48" s="10" t="s">
        <v>327</v>
      </c>
      <c r="B48" s="11" t="s">
        <v>310</v>
      </c>
      <c r="C48" s="12" t="s">
        <v>321</v>
      </c>
      <c r="D48" s="11" t="s">
        <v>322</v>
      </c>
      <c r="E48" s="15" t="s">
        <v>328</v>
      </c>
      <c r="F48" s="12" t="s">
        <v>41</v>
      </c>
      <c r="G48" s="12" t="s">
        <v>246</v>
      </c>
      <c r="H48" s="11" t="s">
        <v>173</v>
      </c>
      <c r="I48" s="11" t="s">
        <v>329</v>
      </c>
      <c r="J48" s="11" t="s">
        <v>97</v>
      </c>
      <c r="K48" s="16" t="s">
        <v>330</v>
      </c>
      <c r="L48" s="15" t="s">
        <v>331</v>
      </c>
      <c r="M48" s="17" t="s">
        <v>208</v>
      </c>
      <c r="N48" s="0"/>
      <c r="O48" s="0"/>
    </row>
  </sheetData>
  <autoFilter ref="A1:O48"/>
  <conditionalFormatting sqref="M2:M48">
    <cfRule type="cellIs" priority="2" operator="equal" aboveAverage="0" equalAverage="0" bottom="0" percent="0" rank="0" text="" dxfId="6">
      <formula>"Passed"</formula>
    </cfRule>
    <cfRule type="cellIs" priority="3" operator="equal" aboveAverage="0" equalAverage="0" bottom="0" percent="0" rank="0" text="" dxfId="7">
      <formula>"Failed"</formula>
    </cfRule>
    <cfRule type="cellIs" priority="4" operator="equal" aboveAverage="0" equalAverage="0" bottom="0" percent="0" rank="0" text="" dxfId="8">
      <formula>"Blocked"</formula>
    </cfRule>
  </conditionalFormatting>
  <dataValidations count="3">
    <dataValidation allowBlank="false" errorStyle="stop" operator="equal" showDropDown="false" showErrorMessage="false" showInputMessage="false" sqref="F2:F48" type="list">
      <formula1>"Positive,Negative,Boundary"</formula1>
      <formula2>0</formula2>
    </dataValidation>
    <dataValidation allowBlank="false" errorStyle="stop" operator="equal" showDropDown="false" showErrorMessage="false" showInputMessage="false" sqref="G2:G48" type="list">
      <formula1>"High,Medium,Low"</formula1>
      <formula2>0</formula2>
    </dataValidation>
    <dataValidation allowBlank="false" errorStyle="stop" operator="equal" showDropDown="false" showErrorMessage="false" showInputMessage="false" sqref="M2:M48" type="list">
      <formula1>"Not Run,Passed,Failed,Blocked"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99" zoomScaleNormal="99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80"/>
    <col collapsed="false" customWidth="true" hidden="false" outlineLevel="0" max="4" min="4" style="1" width="22"/>
    <col collapsed="false" customWidth="true" hidden="false" outlineLevel="0" max="5" min="5" style="1" width="13"/>
  </cols>
  <sheetData>
    <row r="1" customFormat="false" ht="15" hidden="false" customHeight="false" outlineLevel="0" collapsed="false">
      <c r="A1" s="18" t="s">
        <v>25</v>
      </c>
      <c r="B1" s="18" t="s">
        <v>24</v>
      </c>
      <c r="C1" s="18" t="s">
        <v>332</v>
      </c>
      <c r="D1" s="18" t="s">
        <v>333</v>
      </c>
      <c r="E1" s="18" t="s">
        <v>334</v>
      </c>
    </row>
    <row r="2" customFormat="false" ht="15" hidden="false" customHeight="false" outlineLevel="0" collapsed="false">
      <c r="A2" s="19" t="s">
        <v>38</v>
      </c>
      <c r="B2" s="20" t="s">
        <v>37</v>
      </c>
      <c r="C2" s="20" t="s">
        <v>335</v>
      </c>
      <c r="D2" s="20" t="s">
        <v>336</v>
      </c>
      <c r="E2" s="21" t="n">
        <f aca="false">COUNTIF('Test Cases'!$C$2:$C$48,A2)</f>
        <v>1</v>
      </c>
    </row>
    <row r="3" customFormat="false" ht="15" hidden="false" customHeight="false" outlineLevel="0" collapsed="false">
      <c r="A3" s="19" t="s">
        <v>50</v>
      </c>
      <c r="B3" s="20" t="s">
        <v>37</v>
      </c>
      <c r="C3" s="20" t="s">
        <v>337</v>
      </c>
      <c r="D3" s="20" t="s">
        <v>338</v>
      </c>
      <c r="E3" s="21" t="n">
        <f aca="false">COUNTIF('Test Cases'!$C$2:$C$48,A3)</f>
        <v>4</v>
      </c>
    </row>
    <row r="4" customFormat="false" ht="15" hidden="false" customHeight="false" outlineLevel="0" collapsed="false">
      <c r="A4" s="19" t="s">
        <v>68</v>
      </c>
      <c r="B4" s="20" t="s">
        <v>37</v>
      </c>
      <c r="C4" s="20" t="s">
        <v>339</v>
      </c>
      <c r="D4" s="20" t="s">
        <v>15</v>
      </c>
      <c r="E4" s="21" t="n">
        <f aca="false">COUNTIF('Test Cases'!$C$2:$C$48,A4)</f>
        <v>3</v>
      </c>
    </row>
    <row r="5" customFormat="false" ht="15" hidden="false" customHeight="false" outlineLevel="0" collapsed="false">
      <c r="A5" s="19" t="s">
        <v>85</v>
      </c>
      <c r="B5" s="20" t="s">
        <v>37</v>
      </c>
      <c r="C5" s="20" t="s">
        <v>340</v>
      </c>
      <c r="D5" s="20" t="s">
        <v>15</v>
      </c>
      <c r="E5" s="21" t="n">
        <f aca="false">COUNTIF('Test Cases'!$C$2:$C$48,A5)</f>
        <v>1</v>
      </c>
    </row>
    <row r="6" customFormat="false" ht="15" hidden="false" customHeight="false" outlineLevel="0" collapsed="false">
      <c r="A6" s="19" t="s">
        <v>92</v>
      </c>
      <c r="B6" s="20" t="s">
        <v>37</v>
      </c>
      <c r="C6" s="20" t="s">
        <v>341</v>
      </c>
      <c r="D6" s="20" t="s">
        <v>15</v>
      </c>
      <c r="E6" s="21" t="n">
        <f aca="false">COUNTIF('Test Cases'!$C$2:$C$48,A6)</f>
        <v>1</v>
      </c>
    </row>
    <row r="7" customFormat="false" ht="15" hidden="false" customHeight="false" outlineLevel="0" collapsed="false">
      <c r="A7" s="19" t="s">
        <v>106</v>
      </c>
      <c r="B7" s="20" t="s">
        <v>105</v>
      </c>
      <c r="C7" s="20" t="s">
        <v>342</v>
      </c>
      <c r="D7" s="20" t="s">
        <v>343</v>
      </c>
      <c r="E7" s="21" t="n">
        <f aca="false">COUNTIF('Test Cases'!$C$2:$C$48,A7)</f>
        <v>1</v>
      </c>
    </row>
    <row r="8" customFormat="false" ht="15" hidden="false" customHeight="false" outlineLevel="0" collapsed="false">
      <c r="A8" s="19" t="s">
        <v>114</v>
      </c>
      <c r="B8" s="20" t="s">
        <v>113</v>
      </c>
      <c r="C8" s="20" t="s">
        <v>344</v>
      </c>
      <c r="D8" s="20" t="s">
        <v>345</v>
      </c>
      <c r="E8" s="21" t="n">
        <f aca="false">COUNTIF('Test Cases'!$C$2:$C$48,A8)</f>
        <v>2</v>
      </c>
    </row>
    <row r="9" customFormat="false" ht="15" hidden="false" customHeight="false" outlineLevel="0" collapsed="false">
      <c r="A9" s="19" t="s">
        <v>125</v>
      </c>
      <c r="B9" s="20" t="s">
        <v>113</v>
      </c>
      <c r="C9" s="20" t="s">
        <v>346</v>
      </c>
      <c r="D9" s="20" t="s">
        <v>347</v>
      </c>
      <c r="E9" s="21" t="n">
        <f aca="false">COUNTIF('Test Cases'!$C$2:$C$48,A9)</f>
        <v>1</v>
      </c>
    </row>
    <row r="10" customFormat="false" ht="15" hidden="false" customHeight="false" outlineLevel="0" collapsed="false">
      <c r="A10" s="19" t="s">
        <v>133</v>
      </c>
      <c r="B10" s="20" t="s">
        <v>132</v>
      </c>
      <c r="C10" s="20" t="s">
        <v>348</v>
      </c>
      <c r="D10" s="20" t="s">
        <v>349</v>
      </c>
      <c r="E10" s="21" t="n">
        <f aca="false">COUNTIF('Test Cases'!$C$2:$C$48,A10)</f>
        <v>1</v>
      </c>
    </row>
    <row r="11" customFormat="false" ht="15" hidden="false" customHeight="false" outlineLevel="0" collapsed="false">
      <c r="A11" s="19" t="s">
        <v>140</v>
      </c>
      <c r="B11" s="20" t="s">
        <v>132</v>
      </c>
      <c r="C11" s="20" t="s">
        <v>350</v>
      </c>
      <c r="D11" s="20" t="s">
        <v>351</v>
      </c>
      <c r="E11" s="21" t="n">
        <f aca="false">COUNTIF('Test Cases'!$C$2:$C$48,A11)</f>
        <v>1</v>
      </c>
    </row>
    <row r="12" customFormat="false" ht="15" hidden="false" customHeight="false" outlineLevel="0" collapsed="false">
      <c r="A12" s="19" t="s">
        <v>147</v>
      </c>
      <c r="B12" s="20" t="s">
        <v>132</v>
      </c>
      <c r="C12" s="20" t="s">
        <v>352</v>
      </c>
      <c r="D12" s="20" t="s">
        <v>353</v>
      </c>
      <c r="E12" s="21" t="n">
        <f aca="false">COUNTIF('Test Cases'!$C$2:$C$48,A12)</f>
        <v>1</v>
      </c>
    </row>
    <row r="13" customFormat="false" ht="15" hidden="false" customHeight="false" outlineLevel="0" collapsed="false">
      <c r="A13" s="19" t="s">
        <v>153</v>
      </c>
      <c r="B13" s="20" t="s">
        <v>132</v>
      </c>
      <c r="C13" s="20" t="s">
        <v>354</v>
      </c>
      <c r="D13" s="20" t="s">
        <v>355</v>
      </c>
      <c r="E13" s="21" t="n">
        <f aca="false">COUNTIF('Test Cases'!$C$2:$C$48,A13)</f>
        <v>1</v>
      </c>
    </row>
    <row r="14" customFormat="false" ht="15" hidden="false" customHeight="false" outlineLevel="0" collapsed="false">
      <c r="A14" s="19" t="s">
        <v>158</v>
      </c>
      <c r="B14" s="20" t="s">
        <v>132</v>
      </c>
      <c r="C14" s="20" t="s">
        <v>356</v>
      </c>
      <c r="D14" s="20" t="s">
        <v>15</v>
      </c>
      <c r="E14" s="21" t="n">
        <f aca="false">COUNTIF('Test Cases'!$C$2:$C$48,A14)</f>
        <v>1</v>
      </c>
    </row>
    <row r="15" customFormat="false" ht="15" hidden="false" customHeight="false" outlineLevel="0" collapsed="false">
      <c r="A15" s="19" t="s">
        <v>165</v>
      </c>
      <c r="B15" s="20" t="s">
        <v>164</v>
      </c>
      <c r="C15" s="20" t="s">
        <v>357</v>
      </c>
      <c r="D15" s="20" t="s">
        <v>358</v>
      </c>
      <c r="E15" s="21" t="n">
        <f aca="false">COUNTIF('Test Cases'!$C$2:$C$48,A15)</f>
        <v>2</v>
      </c>
    </row>
    <row r="16" customFormat="false" ht="15" hidden="false" customHeight="false" outlineLevel="0" collapsed="false">
      <c r="A16" s="19" t="s">
        <v>177</v>
      </c>
      <c r="B16" s="20" t="s">
        <v>164</v>
      </c>
      <c r="C16" s="20" t="s">
        <v>359</v>
      </c>
      <c r="D16" s="20" t="s">
        <v>360</v>
      </c>
      <c r="E16" s="21" t="n">
        <f aca="false">COUNTIF('Test Cases'!$C$2:$C$48,A16)</f>
        <v>1</v>
      </c>
    </row>
    <row r="17" customFormat="false" ht="15" hidden="false" customHeight="false" outlineLevel="0" collapsed="false">
      <c r="A17" s="19" t="s">
        <v>184</v>
      </c>
      <c r="B17" s="20" t="s">
        <v>164</v>
      </c>
      <c r="C17" s="20" t="s">
        <v>361</v>
      </c>
      <c r="D17" s="20" t="s">
        <v>362</v>
      </c>
      <c r="E17" s="21" t="n">
        <f aca="false">COUNTIF('Test Cases'!$C$2:$C$48,A17)</f>
        <v>1</v>
      </c>
    </row>
    <row r="18" customFormat="false" ht="15" hidden="false" customHeight="false" outlineLevel="0" collapsed="false">
      <c r="A18" s="19" t="s">
        <v>191</v>
      </c>
      <c r="B18" s="20" t="s">
        <v>164</v>
      </c>
      <c r="C18" s="20" t="s">
        <v>363</v>
      </c>
      <c r="D18" s="20" t="s">
        <v>364</v>
      </c>
      <c r="E18" s="21" t="n">
        <f aca="false">COUNTIF('Test Cases'!$C$2:$C$48,A18)</f>
        <v>1</v>
      </c>
    </row>
    <row r="19" customFormat="false" ht="15" hidden="false" customHeight="false" outlineLevel="0" collapsed="false">
      <c r="A19" s="19" t="s">
        <v>197</v>
      </c>
      <c r="B19" s="20" t="s">
        <v>164</v>
      </c>
      <c r="C19" s="20" t="s">
        <v>365</v>
      </c>
      <c r="D19" s="20" t="s">
        <v>366</v>
      </c>
      <c r="E19" s="21" t="n">
        <f aca="false">COUNTIF('Test Cases'!$C$2:$C$48,A19)</f>
        <v>1</v>
      </c>
    </row>
    <row r="20" customFormat="false" ht="15" hidden="false" customHeight="false" outlineLevel="0" collapsed="false">
      <c r="A20" s="19" t="s">
        <v>203</v>
      </c>
      <c r="B20" s="20" t="s">
        <v>164</v>
      </c>
      <c r="C20" s="20" t="s">
        <v>367</v>
      </c>
      <c r="D20" s="20" t="s">
        <v>15</v>
      </c>
      <c r="E20" s="21" t="n">
        <f aca="false">COUNTIF('Test Cases'!$C$2:$C$48,A20)</f>
        <v>1</v>
      </c>
    </row>
    <row r="21" customFormat="false" ht="15" hidden="false" customHeight="false" outlineLevel="0" collapsed="false">
      <c r="A21" s="19" t="s">
        <v>211</v>
      </c>
      <c r="B21" s="20" t="s">
        <v>210</v>
      </c>
      <c r="C21" s="20" t="s">
        <v>368</v>
      </c>
      <c r="D21" s="20" t="s">
        <v>369</v>
      </c>
      <c r="E21" s="21" t="n">
        <f aca="false">COUNTIF('Test Cases'!$C$2:$C$48,A21)</f>
        <v>7</v>
      </c>
    </row>
    <row r="22" customFormat="false" ht="15" hidden="false" customHeight="false" outlineLevel="0" collapsed="false">
      <c r="A22" s="19" t="s">
        <v>252</v>
      </c>
      <c r="B22" s="20" t="s">
        <v>210</v>
      </c>
      <c r="C22" s="20" t="s">
        <v>370</v>
      </c>
      <c r="D22" s="20" t="s">
        <v>371</v>
      </c>
      <c r="E22" s="21" t="n">
        <f aca="false">COUNTIF('Test Cases'!$C$2:$C$48,A22)</f>
        <v>2</v>
      </c>
    </row>
    <row r="23" customFormat="false" ht="15" hidden="false" customHeight="false" outlineLevel="0" collapsed="false">
      <c r="A23" s="19" t="s">
        <v>265</v>
      </c>
      <c r="B23" s="20" t="s">
        <v>210</v>
      </c>
      <c r="C23" s="20" t="s">
        <v>372</v>
      </c>
      <c r="D23" s="20" t="s">
        <v>373</v>
      </c>
      <c r="E23" s="21" t="n">
        <f aca="false">COUNTIF('Test Cases'!$C$2:$C$48,A23)</f>
        <v>1</v>
      </c>
    </row>
    <row r="24" customFormat="false" ht="15" hidden="false" customHeight="false" outlineLevel="0" collapsed="false">
      <c r="A24" s="19" t="s">
        <v>272</v>
      </c>
      <c r="B24" s="20" t="s">
        <v>210</v>
      </c>
      <c r="C24" s="20" t="s">
        <v>374</v>
      </c>
      <c r="D24" s="20" t="s">
        <v>15</v>
      </c>
      <c r="E24" s="21" t="n">
        <f aca="false">COUNTIF('Test Cases'!$C$2:$C$48,A24)</f>
        <v>2</v>
      </c>
    </row>
    <row r="25" customFormat="false" ht="15" hidden="false" customHeight="false" outlineLevel="0" collapsed="false">
      <c r="A25" s="19" t="s">
        <v>281</v>
      </c>
      <c r="B25" s="20" t="s">
        <v>210</v>
      </c>
      <c r="C25" s="20" t="s">
        <v>375</v>
      </c>
      <c r="D25" s="20" t="s">
        <v>15</v>
      </c>
      <c r="E25" s="21" t="n">
        <f aca="false">COUNTIF('Test Cases'!$C$2:$C$48,A25)</f>
        <v>1</v>
      </c>
    </row>
    <row r="26" customFormat="false" ht="15" hidden="false" customHeight="false" outlineLevel="0" collapsed="false">
      <c r="A26" s="19" t="s">
        <v>288</v>
      </c>
      <c r="B26" s="20" t="s">
        <v>105</v>
      </c>
      <c r="C26" s="20" t="s">
        <v>376</v>
      </c>
      <c r="D26" s="20" t="s">
        <v>377</v>
      </c>
      <c r="E26" s="21" t="n">
        <f aca="false">COUNTIF('Test Cases'!$C$2:$C$48,A26)</f>
        <v>4</v>
      </c>
    </row>
    <row r="27" customFormat="false" ht="15" hidden="false" customHeight="false" outlineLevel="0" collapsed="false">
      <c r="A27" s="19" t="s">
        <v>311</v>
      </c>
      <c r="B27" s="20" t="s">
        <v>310</v>
      </c>
      <c r="C27" s="20" t="s">
        <v>378</v>
      </c>
      <c r="D27" s="20" t="s">
        <v>15</v>
      </c>
      <c r="E27" s="21" t="n">
        <f aca="false">COUNTIF('Test Cases'!$C$2:$C$48,A27)</f>
        <v>2</v>
      </c>
    </row>
    <row r="28" customFormat="false" ht="15" hidden="false" customHeight="false" outlineLevel="0" collapsed="false">
      <c r="A28" s="19" t="s">
        <v>321</v>
      </c>
      <c r="B28" s="20" t="s">
        <v>310</v>
      </c>
      <c r="C28" s="20" t="s">
        <v>379</v>
      </c>
      <c r="D28" s="20" t="s">
        <v>15</v>
      </c>
      <c r="E28" s="21" t="n">
        <f aca="false">COUNTIF('Test Cases'!$C$2:$C$48,A28)</f>
        <v>2</v>
      </c>
    </row>
  </sheetData>
  <conditionalFormatting sqref="E2:E28">
    <cfRule type="cellIs" priority="2" operator="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fals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2"/>
  </cols>
  <sheetData>
    <row r="2" customFormat="false" ht="19.7" hidden="false" customHeight="false" outlineLevel="0" collapsed="false">
      <c r="B2" s="2" t="s">
        <v>380</v>
      </c>
    </row>
    <row r="4" customFormat="false" ht="15" hidden="false" customHeight="false" outlineLevel="0" collapsed="false">
      <c r="B4" s="22" t="s">
        <v>381</v>
      </c>
      <c r="C4" s="23" t="n">
        <f aca="false">COUNTA('Test Cases'!A2:A48)</f>
        <v>47</v>
      </c>
    </row>
    <row r="5" customFormat="false" ht="15" hidden="false" customHeight="false" outlineLevel="0" collapsed="false">
      <c r="B5" s="22" t="s">
        <v>382</v>
      </c>
      <c r="C5" s="23" t="n">
        <f aca="false">COUNTIF('Test Cases'!M2:M48,"Passed")+COUNTIF('Test Cases'!M2:M48,"Failed")+COUNTIF('Test Cases'!M2:M48,"Blocked")</f>
        <v>47</v>
      </c>
    </row>
    <row r="6" customFormat="false" ht="15" hidden="false" customHeight="false" outlineLevel="0" collapsed="false">
      <c r="B6" s="22" t="s">
        <v>383</v>
      </c>
      <c r="C6" s="24" t="n">
        <f aca="false">IFERROR(C5/C4,0)</f>
        <v>1</v>
      </c>
    </row>
    <row r="7" customFormat="false" ht="15" hidden="false" customHeight="false" outlineLevel="0" collapsed="false">
      <c r="B7" s="22" t="s">
        <v>384</v>
      </c>
      <c r="C7" s="24" t="n">
        <f aca="false">IFERROR(COUNTIF('Test Cases'!M2:M48,"Passed")/(COUNTIF('Test Cases'!M2:M48,"Passed")+COUNTIF('Test Cases'!M2:M48,"Failed")),0)</f>
        <v>0.957446808510638</v>
      </c>
    </row>
    <row r="8" customFormat="false" ht="15" hidden="false" customHeight="false" outlineLevel="0" collapsed="false">
      <c r="B8" s="22" t="s">
        <v>385</v>
      </c>
      <c r="C8" s="24" t="n">
        <f aca="false">IFERROR((COUNTIF('Test Cases'!F2:F48,"Negative")+COUNTIF('Test Cases'!F2:F48,"Boundary"))/C4,0)</f>
        <v>0.361702127659575</v>
      </c>
    </row>
    <row r="10" customFormat="false" ht="15" hidden="false" customHeight="false" outlineLevel="0" collapsed="false">
      <c r="B10" s="25" t="s">
        <v>386</v>
      </c>
      <c r="C10" s="25" t="s">
        <v>387</v>
      </c>
      <c r="D10" s="25" t="s">
        <v>388</v>
      </c>
    </row>
    <row r="11" customFormat="false" ht="15" hidden="false" customHeight="false" outlineLevel="0" collapsed="false">
      <c r="B11" s="26" t="s">
        <v>389</v>
      </c>
      <c r="C11" s="26" t="n">
        <f aca="false">COUNTIF('Test Cases'!$M$2:$M$48,B11)</f>
        <v>0</v>
      </c>
      <c r="D11" s="27" t="n">
        <f aca="false">IFERROR(C11/$C$4,0)</f>
        <v>0</v>
      </c>
    </row>
    <row r="12" customFormat="false" ht="15" hidden="false" customHeight="false" outlineLevel="0" collapsed="false">
      <c r="B12" s="26" t="s">
        <v>48</v>
      </c>
      <c r="C12" s="26" t="n">
        <f aca="false">COUNTIF('Test Cases'!$M$2:$M$48,B12)</f>
        <v>45</v>
      </c>
      <c r="D12" s="27" t="n">
        <f aca="false">IFERROR(C12/$C$4,0)</f>
        <v>0.957446808510638</v>
      </c>
    </row>
    <row r="13" customFormat="false" ht="15" hidden="false" customHeight="false" outlineLevel="0" collapsed="false">
      <c r="B13" s="26" t="s">
        <v>208</v>
      </c>
      <c r="C13" s="26" t="n">
        <f aca="false">COUNTIF('Test Cases'!$M$2:$M$48,B13)</f>
        <v>2</v>
      </c>
      <c r="D13" s="27" t="n">
        <f aca="false">IFERROR(C13/$C$4,0)</f>
        <v>0.0425531914893617</v>
      </c>
    </row>
    <row r="14" customFormat="false" ht="15" hidden="false" customHeight="false" outlineLevel="0" collapsed="false">
      <c r="B14" s="26" t="s">
        <v>390</v>
      </c>
      <c r="C14" s="26" t="n">
        <f aca="false">COUNTIF('Test Cases'!$M$2:$M$48,B14)</f>
        <v>0</v>
      </c>
      <c r="D14" s="27" t="n">
        <f aca="false">IFERROR(C14/$C$4,0)</f>
        <v>0</v>
      </c>
    </row>
    <row r="16" customFormat="false" ht="15" hidden="false" customHeight="false" outlineLevel="0" collapsed="false">
      <c r="B16" s="25" t="s">
        <v>391</v>
      </c>
      <c r="C16" s="25" t="s">
        <v>387</v>
      </c>
      <c r="D16" s="25" t="s">
        <v>388</v>
      </c>
    </row>
    <row r="17" customFormat="false" ht="15" hidden="false" customHeight="false" outlineLevel="0" collapsed="false">
      <c r="B17" s="26" t="s">
        <v>41</v>
      </c>
      <c r="C17" s="26" t="n">
        <f aca="false">COUNTIF('Test Cases'!$F$2:$F$48,B17)</f>
        <v>30</v>
      </c>
      <c r="D17" s="27" t="n">
        <f aca="false">IFERROR(C17/$C$4,0)</f>
        <v>0.638297872340426</v>
      </c>
    </row>
    <row r="18" customFormat="false" ht="15" hidden="false" customHeight="false" outlineLevel="0" collapsed="false">
      <c r="B18" s="26" t="s">
        <v>53</v>
      </c>
      <c r="C18" s="26" t="n">
        <f aca="false">COUNTIF('Test Cases'!$F$2:$F$48,B18)</f>
        <v>16</v>
      </c>
      <c r="D18" s="27" t="n">
        <f aca="false">IFERROR(C18/$C$4,0)</f>
        <v>0.340425531914894</v>
      </c>
    </row>
    <row r="19" customFormat="false" ht="15" hidden="false" customHeight="false" outlineLevel="0" collapsed="false">
      <c r="B19" s="26" t="s">
        <v>240</v>
      </c>
      <c r="C19" s="26" t="n">
        <f aca="false">COUNTIF('Test Cases'!$F$2:$F$48,B19)</f>
        <v>1</v>
      </c>
      <c r="D19" s="27" t="n">
        <f aca="false">IFERROR(C19/$C$4,0)</f>
        <v>0.0212765957446809</v>
      </c>
    </row>
    <row r="21" customFormat="false" ht="15" hidden="false" customHeight="false" outlineLevel="0" collapsed="false">
      <c r="B21" s="25" t="s">
        <v>392</v>
      </c>
      <c r="C21" s="25" t="s">
        <v>387</v>
      </c>
      <c r="D21" s="25" t="s">
        <v>388</v>
      </c>
    </row>
    <row r="22" customFormat="false" ht="15" hidden="false" customHeight="false" outlineLevel="0" collapsed="false">
      <c r="B22" s="26" t="s">
        <v>42</v>
      </c>
      <c r="C22" s="26" t="n">
        <f aca="false">COUNTIF('Test Cases'!$G$2:$G$48,B22)</f>
        <v>21</v>
      </c>
      <c r="D22" s="27" t="n">
        <f aca="false">IFERROR(C22/$C$4,0)</f>
        <v>0.446808510638298</v>
      </c>
    </row>
    <row r="23" customFormat="false" ht="15" hidden="false" customHeight="false" outlineLevel="0" collapsed="false">
      <c r="B23" s="26" t="s">
        <v>64</v>
      </c>
      <c r="C23" s="26" t="n">
        <f aca="false">COUNTIF('Test Cases'!$G$2:$G$48,B23)</f>
        <v>22</v>
      </c>
      <c r="D23" s="27" t="n">
        <f aca="false">IFERROR(C23/$C$4,0)</f>
        <v>0.468085106382979</v>
      </c>
    </row>
    <row r="24" customFormat="false" ht="15" hidden="false" customHeight="false" outlineLevel="0" collapsed="false">
      <c r="B24" s="26" t="s">
        <v>246</v>
      </c>
      <c r="C24" s="26" t="n">
        <f aca="false">COUNTIF('Test Cases'!$G$2:$G$48,B24)</f>
        <v>4</v>
      </c>
      <c r="D24" s="27" t="n">
        <f aca="false">IFERROR(C24/$C$4,0)</f>
        <v>0.0851063829787234</v>
      </c>
    </row>
    <row r="26" customFormat="false" ht="15" hidden="false" customHeight="false" outlineLevel="0" collapsed="false">
      <c r="B26" s="25" t="s">
        <v>393</v>
      </c>
      <c r="C26" s="25" t="s">
        <v>387</v>
      </c>
      <c r="D26" s="25" t="s">
        <v>388</v>
      </c>
    </row>
    <row r="27" customFormat="false" ht="15" hidden="false" customHeight="false" outlineLevel="0" collapsed="false">
      <c r="B27" s="26" t="s">
        <v>37</v>
      </c>
      <c r="C27" s="26" t="n">
        <f aca="false">COUNTIF('Test Cases'!$B$2:$B$48,B27)</f>
        <v>10</v>
      </c>
      <c r="D27" s="27" t="n">
        <f aca="false">IFERROR(C27/$C$4,0)</f>
        <v>0.212765957446809</v>
      </c>
    </row>
    <row r="28" customFormat="false" ht="15" hidden="false" customHeight="false" outlineLevel="0" collapsed="false">
      <c r="B28" s="26" t="s">
        <v>105</v>
      </c>
      <c r="C28" s="26" t="n">
        <f aca="false">COUNTIF('Test Cases'!$B$2:$B$48,B28)</f>
        <v>5</v>
      </c>
      <c r="D28" s="27" t="n">
        <f aca="false">IFERROR(C28/$C$4,0)</f>
        <v>0.106382978723404</v>
      </c>
    </row>
    <row r="29" customFormat="false" ht="15" hidden="false" customHeight="false" outlineLevel="0" collapsed="false">
      <c r="B29" s="26" t="s">
        <v>113</v>
      </c>
      <c r="C29" s="26" t="n">
        <f aca="false">COUNTIF('Test Cases'!$B$2:$B$48,B29)</f>
        <v>3</v>
      </c>
      <c r="D29" s="27" t="n">
        <f aca="false">IFERROR(C29/$C$4,0)</f>
        <v>0.0638297872340426</v>
      </c>
    </row>
    <row r="30" customFormat="false" ht="15" hidden="false" customHeight="false" outlineLevel="0" collapsed="false">
      <c r="B30" s="26" t="s">
        <v>132</v>
      </c>
      <c r="C30" s="26" t="n">
        <f aca="false">COUNTIF('Test Cases'!$B$2:$B$48,B30)</f>
        <v>5</v>
      </c>
      <c r="D30" s="27" t="n">
        <f aca="false">IFERROR(C30/$C$4,0)</f>
        <v>0.106382978723404</v>
      </c>
    </row>
    <row r="31" customFormat="false" ht="15" hidden="false" customHeight="false" outlineLevel="0" collapsed="false">
      <c r="B31" s="26" t="s">
        <v>164</v>
      </c>
      <c r="C31" s="26" t="n">
        <f aca="false">COUNTIF('Test Cases'!$B$2:$B$48,B31)</f>
        <v>7</v>
      </c>
      <c r="D31" s="27" t="n">
        <f aca="false">IFERROR(C31/$C$4,0)</f>
        <v>0.148936170212766</v>
      </c>
    </row>
    <row r="32" customFormat="false" ht="15" hidden="false" customHeight="false" outlineLevel="0" collapsed="false">
      <c r="B32" s="26" t="s">
        <v>210</v>
      </c>
      <c r="C32" s="26" t="n">
        <f aca="false">COUNTIF('Test Cases'!$B$2:$B$48,B32)</f>
        <v>13</v>
      </c>
      <c r="D32" s="27" t="n">
        <f aca="false">IFERROR(C32/$C$4,0)</f>
        <v>0.276595744680851</v>
      </c>
    </row>
    <row r="33" customFormat="false" ht="15" hidden="false" customHeight="false" outlineLevel="0" collapsed="false">
      <c r="B33" s="26" t="s">
        <v>310</v>
      </c>
      <c r="C33" s="26" t="n">
        <f aca="false">COUNTIF('Test Cases'!$B$2:$B$48,B33)</f>
        <v>4</v>
      </c>
      <c r="D33" s="27" t="n">
        <f aca="false">IFERROR(C33/$C$4,0)</f>
        <v>0.0851063829787234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2026-10-23T20:18:08Z</dcterms:created>
  <dc:creator>openpyxl</dc:creator>
  <dc:description/>
  <dc:language>en-US</dc:language>
  <cp:lastModifiedBy/>
  <dcterms:modified xsi:type="dcterms:W3CDTF">2026-10-28T06:06:56Z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